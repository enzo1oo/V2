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Staff" sheetId="2" state="visible" r:id="rId4"/>
    <sheet name="Catalog" sheetId="3" state="visible" r:id="rId5"/>
    <sheet name="LetterCodes" sheetId="4" state="visible" r:id="rId6"/>
    <sheet name="AuditLog" sheetId="5" state="visible" r:id="rId7"/>
    <sheet name="Config" sheetId="6" state="visible" r:id="rId8"/>
  </sheets>
  <definedNames>
    <definedName function="false" hidden="true" localSheetId="0" name="_xlnm._FilterDatabase" vbProcedure="false">Master!$A$1:$AB$4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Accountable for the task. Only the manager changes it.</t>
        </r>
      </text>
    </comment>
    <comment ref="I1" authorId="0">
      <text>
        <r>
          <rPr>
            <sz val="10"/>
            <rFont val="Arial"/>
            <family val="2"/>
          </rPr>
          <t xml:space="preserve">Who does the work. Starts as the owner; can be handed off.</t>
        </r>
      </text>
    </comment>
    <comment ref="T1" authorId="0">
      <text>
        <r>
          <rPr>
            <sz val="10"/>
            <rFont val="Arial"/>
            <family val="2"/>
          </rPr>
          <t xml:space="preserve">Formula: effort weight from Config. Blank effort = Medium.</t>
        </r>
      </text>
    </comment>
    <comment ref="W1" authorId="0">
      <text>
        <r>
          <rPr>
            <sz val="10"/>
            <rFont val="Arial"/>
            <family val="2"/>
          </rPr>
          <t xml:space="preserve">Filled by the app on every change. Blank for migrated rows.</t>
        </r>
      </text>
    </comment>
    <comment ref="AC1" authorId="0">
      <text>
        <r>
          <rPr>
            <sz val="10"/>
            <rFont val="Arial"/>
            <family val="2"/>
          </rPr>
          <t xml:space="preserve">Why the script proposed this owner (which rule fired). Written by the script.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Matches the name anywhere in Support. A short name inside a longer one would double count.</t>
        </r>
      </text>
    </comment>
    <comment ref="L1" authorId="0">
      <text>
        <r>
          <rPr>
            <sz val="10"/>
            <rFont val="Arial"/>
            <family val="2"/>
          </rPr>
          <t xml:space="preserve">Sum of Weight for open tasks you are DOING + Support share x weight of open tasks you support. Proposed tasks count. Settings in Config.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Comma-separated. The script matches these as whole words in the email subject/body or chat message. Longer matches win. Edit freely.</t>
        </r>
      </text>
    </comment>
  </commentList>
</comments>
</file>

<file path=xl/sharedStrings.xml><?xml version="1.0" encoding="utf-8"?>
<sst xmlns="http://schemas.openxmlformats.org/spreadsheetml/2006/main" count="652" uniqueCount="390">
  <si>
    <t xml:space="preserve">ID</t>
  </si>
  <si>
    <t xml:space="preserve">Type</t>
  </si>
  <si>
    <t xml:space="preserve">Title</t>
  </si>
  <si>
    <t xml:space="preserve">Catalog ID</t>
  </si>
  <si>
    <t xml:space="preserve">Category</t>
  </si>
  <si>
    <t xml:space="preserve">Division</t>
  </si>
  <si>
    <t xml:space="preserve">Requester / Regulator</t>
  </si>
  <si>
    <t xml:space="preserve">Owner</t>
  </si>
  <si>
    <t xml:space="preserve">Doer</t>
  </si>
  <si>
    <t xml:space="preserve">Support</t>
  </si>
  <si>
    <t xml:space="preserve">Whole team</t>
  </si>
  <si>
    <t xml:space="preserve">Letter no.</t>
  </si>
  <si>
    <t xml:space="preserve">Letter code</t>
  </si>
  <si>
    <t xml:space="preserve">Request reference</t>
  </si>
  <si>
    <t xml:space="preserve">Start / received</t>
  </si>
  <si>
    <t xml:space="preserve">Due date</t>
  </si>
  <si>
    <t xml:space="preserve">Submitted date</t>
  </si>
  <si>
    <t xml:space="preserve">Priority</t>
  </si>
  <si>
    <t xml:space="preserve">Effort</t>
  </si>
  <si>
    <t xml:space="preserve">Weight</t>
  </si>
  <si>
    <t xml:space="preserve">Progress</t>
  </si>
  <si>
    <t xml:space="preserve">Status</t>
  </si>
  <si>
    <t xml:space="preserve">Last updated</t>
  </si>
  <si>
    <t xml:space="preserve">Link</t>
  </si>
  <si>
    <t xml:space="preserve">Send to</t>
  </si>
  <si>
    <t xml:space="preserve">Notes</t>
  </si>
  <si>
    <t xml:space="preserve">Flag</t>
  </si>
  <si>
    <t xml:space="preserve">Source</t>
  </si>
  <si>
    <t xml:space="preserve">Routing note</t>
  </si>
  <si>
    <t xml:space="preserve">EX-1</t>
  </si>
  <si>
    <t xml:space="preserve">Reporting</t>
  </si>
  <si>
    <t xml:space="preserve">[EXAMPLE] ATMR Kredit Q3</t>
  </si>
  <si>
    <t xml:space="preserve">FIN-ATMR</t>
  </si>
  <si>
    <t xml:space="preserve">BRI Pusat</t>
  </si>
  <si>
    <t xml:space="preserve">Policy and Risk</t>
  </si>
  <si>
    <t xml:space="preserve">Leila</t>
  </si>
  <si>
    <t xml:space="preserve">B.91.e-EMR/IRM/10/2026</t>
  </si>
  <si>
    <t xml:space="preserve">EMR/IRM</t>
  </si>
  <si>
    <t xml:space="preserve">Done</t>
  </si>
  <si>
    <t xml:space="preserve">Email: ayu.putu.alika.pramesvari@brilian.bri.co.id</t>
  </si>
  <si>
    <t xml:space="preserve">Example row showing the format. Delete before go-live.</t>
  </si>
  <si>
    <t xml:space="preserve">Copied from Timeline GRC - Reporting #115</t>
  </si>
  <si>
    <t xml:space="preserve">EX-2</t>
  </si>
  <si>
    <t xml:space="preserve">Project</t>
  </si>
  <si>
    <t xml:space="preserve">[EXAMPLE] Risk Mapping FlexM</t>
  </si>
  <si>
    <t xml:space="preserve">Others</t>
  </si>
  <si>
    <t xml:space="preserve">Gwen</t>
  </si>
  <si>
    <t xml:space="preserve">Medium</t>
  </si>
  <si>
    <t xml:space="preserve">RemitGo x FlexM Risk Identification and Treatment.xlsx</t>
  </si>
  <si>
    <t xml:space="preserve">Copied from Timeline GRC - Tasks #18</t>
  </si>
  <si>
    <t xml:space="preserve">EX-3</t>
  </si>
  <si>
    <t xml:space="preserve">PRD assessment</t>
  </si>
  <si>
    <t xml:space="preserve">[EXAMPLE] remitgo Promo Code</t>
  </si>
  <si>
    <t xml:space="preserve">Remitgo</t>
  </si>
  <si>
    <t xml:space="preserve">Ko Kenneth</t>
  </si>
  <si>
    <t xml:space="preserve">PRD promo code; RA004_Promo Code Engine (Internal Dashboard + remit.go!)</t>
  </si>
  <si>
    <t xml:space="preserve">Copied from Timeline GRC - PRD RA004</t>
  </si>
  <si>
    <t xml:space="preserve">Staff ID</t>
  </si>
  <si>
    <t xml:space="preserve">Name</t>
  </si>
  <si>
    <t xml:space="preserve">Spellings found</t>
  </si>
  <si>
    <t xml:space="preserve">Main division</t>
  </si>
  <si>
    <t xml:space="preserve">Role</t>
  </si>
  <si>
    <t xml:space="preserve">Suggested role (from data)</t>
  </si>
  <si>
    <t xml:space="preserve">Internship end date</t>
  </si>
  <si>
    <t xml:space="preserve">Capacity (1 = full time)</t>
  </si>
  <si>
    <t xml:space="preserve">Open (as doer)</t>
  </si>
  <si>
    <t xml:space="preserve">Open as support</t>
  </si>
  <si>
    <t xml:space="preserve">Overdue (as owner)</t>
  </si>
  <si>
    <t xml:space="preserve">Weighted open load</t>
  </si>
  <si>
    <t xml:space="preserve">Load vs capacity</t>
  </si>
  <si>
    <t xml:space="preserve">Owns catalog reports</t>
  </si>
  <si>
    <t xml:space="preserve">Email</t>
  </si>
  <si>
    <t xml:space="preserve">S01</t>
  </si>
  <si>
    <t xml:space="preserve">Stesya</t>
  </si>
  <si>
    <t xml:space="preserve">Ste, Stes, Stesya</t>
  </si>
  <si>
    <t xml:space="preserve">S02</t>
  </si>
  <si>
    <t xml:space="preserve">Cia</t>
  </si>
  <si>
    <t xml:space="preserve">Ci, Cia</t>
  </si>
  <si>
    <t xml:space="preserve">Finance</t>
  </si>
  <si>
    <t xml:space="preserve">Intern (runs an intern project)</t>
  </si>
  <si>
    <t xml:space="preserve">S03</t>
  </si>
  <si>
    <t xml:space="preserve">Venya</t>
  </si>
  <si>
    <t xml:space="preserve">Lovenya, Ve, Venya</t>
  </si>
  <si>
    <t xml:space="preserve">S04</t>
  </si>
  <si>
    <t xml:space="preserve">S05</t>
  </si>
  <si>
    <t xml:space="preserve">Selina</t>
  </si>
  <si>
    <t xml:space="preserve">Sel, Selina, Seline</t>
  </si>
  <si>
    <t xml:space="preserve">Compliance</t>
  </si>
  <si>
    <t xml:space="preserve">S06</t>
  </si>
  <si>
    <t xml:space="preserve">Ivy</t>
  </si>
  <si>
    <t xml:space="preserve">HR</t>
  </si>
  <si>
    <t xml:space="preserve">S07</t>
  </si>
  <si>
    <t xml:space="preserve">Kak Leila, Leila, kak Leila</t>
  </si>
  <si>
    <t xml:space="preserve">S08</t>
  </si>
  <si>
    <t xml:space="preserve">Cynthia</t>
  </si>
  <si>
    <t xml:space="preserve">Audit</t>
  </si>
  <si>
    <t xml:space="preserve">S09</t>
  </si>
  <si>
    <t xml:space="preserve">Natalie</t>
  </si>
  <si>
    <t xml:space="preserve">S10</t>
  </si>
  <si>
    <t xml:space="preserve">Adeline</t>
  </si>
  <si>
    <t xml:space="preserve">Adel, Adeline</t>
  </si>
  <si>
    <t xml:space="preserve">S11</t>
  </si>
  <si>
    <t xml:space="preserve">Dicki</t>
  </si>
  <si>
    <t xml:space="preserve">Dicki, Pak Dicki</t>
  </si>
  <si>
    <t xml:space="preserve">Manager</t>
  </si>
  <si>
    <t xml:space="preserve">S12</t>
  </si>
  <si>
    <t xml:space="preserve">Hillary</t>
  </si>
  <si>
    <t xml:space="preserve">Hil, Hillary</t>
  </si>
  <si>
    <t xml:space="preserve">Intern (intern presentation)</t>
  </si>
  <si>
    <t xml:space="preserve">S13</t>
  </si>
  <si>
    <t xml:space="preserve">Abia</t>
  </si>
  <si>
    <t xml:space="preserve">S14</t>
  </si>
  <si>
    <t xml:space="preserve">Albert</t>
  </si>
  <si>
    <t xml:space="preserve">S15</t>
  </si>
  <si>
    <t xml:space="preserve">Ken</t>
  </si>
  <si>
    <t xml:space="preserve">S16</t>
  </si>
  <si>
    <t xml:space="preserve">Cindy</t>
  </si>
  <si>
    <t xml:space="preserve">S17</t>
  </si>
  <si>
    <t xml:space="preserve">Ben</t>
  </si>
  <si>
    <t xml:space="preserve">Pak Ben</t>
  </si>
  <si>
    <t xml:space="preserve">S18</t>
  </si>
  <si>
    <t xml:space="preserve">Flynn</t>
  </si>
  <si>
    <t xml:space="preserve">Report type</t>
  </si>
  <si>
    <t xml:space="preserve">Regulator / Institution</t>
  </si>
  <si>
    <t xml:space="preserve">Recurrence</t>
  </si>
  <si>
    <t xml:space="preserve">Default owner</t>
  </si>
  <si>
    <t xml:space="preserve">Backup</t>
  </si>
  <si>
    <t xml:space="preserve">Typical due day</t>
  </si>
  <si>
    <t xml:space="preserve">Due months seen (2026)</t>
  </si>
  <si>
    <t xml:space="preserve">Usually sent to</t>
  </si>
  <si>
    <t xml:space="preserve">Times logged</t>
  </si>
  <si>
    <t xml:space="preserve">Confirmed by manager?</t>
  </si>
  <si>
    <t xml:space="preserve">Match keywords</t>
  </si>
  <si>
    <t xml:space="preserve">RM-MONTHLY</t>
  </si>
  <si>
    <t xml:space="preserve">Monthly RAS &amp; Risk Profile letters (internal)</t>
  </si>
  <si>
    <t xml:space="preserve">Internal</t>
  </si>
  <si>
    <t xml:space="preserve">Monthly</t>
  </si>
  <si>
    <t xml:space="preserve">Jul, Aug, Sep, Oct</t>
  </si>
  <si>
    <t xml:space="preserve">waiting for approval pak Dicki</t>
  </si>
  <si>
    <t xml:space="preserve">Prepared internally after month-end, then sent to BRI Pusat</t>
  </si>
  <si>
    <t xml:space="preserve">ras bulan, profil risiko bulan, laporan ras bulan, surat laporan ras, surat laporan profil risiko, monthly ras, laporan ras, laporan profil risiko, ras &amp; profil risiko</t>
  </si>
  <si>
    <t xml:space="preserve">RM-PROFIL-Q</t>
  </si>
  <si>
    <t xml:space="preserve">Risk Profile working paper (to BRI Pusat)</t>
  </si>
  <si>
    <t xml:space="preserve">Quarterly</t>
  </si>
  <si>
    <t xml:space="preserve">Jan, Jul, Oct</t>
  </si>
  <si>
    <t xml:space="preserve">ke email bimo SBM</t>
  </si>
  <si>
    <t xml:space="preserve">profil risiko, kertas kerja profil risiko, risk profile</t>
  </si>
  <si>
    <t xml:space="preserve">RM-RAS-Q</t>
  </si>
  <si>
    <t xml:space="preserve">RAS quarterly / annual statement</t>
  </si>
  <si>
    <t xml:space="preserve">Jul, Oct</t>
  </si>
  <si>
    <t xml:space="preserve">Email: rafa.nismara.dahayu@brilian.bri.co.id</t>
  </si>
  <si>
    <t xml:space="preserve">Annual RAS statement in January</t>
  </si>
  <si>
    <t xml:space="preserve">ras triwulan, risk appetite, ras q, risk appettite, risk appetite statement, ras q1, ras q2, ras q3, ras q4, penyesuaian parameter ras</t>
  </si>
  <si>
    <t xml:space="preserve">RM-LIMIT</t>
  </si>
  <si>
    <t xml:space="preserve">Risk limits &amp; RAS parameters for next year</t>
  </si>
  <si>
    <t xml:space="preserve">Annual</t>
  </si>
  <si>
    <t xml:space="preserve">Sep</t>
  </si>
  <si>
    <t xml:space="preserve">Email: a.fatmawati@brilian.bri.co.id</t>
  </si>
  <si>
    <t xml:space="preserve">limit risiko, parameter ras</t>
  </si>
  <si>
    <t xml:space="preserve">RM-STRESS</t>
  </si>
  <si>
    <t xml:space="preserve">Stress test</t>
  </si>
  <si>
    <t xml:space="preserve">Jul, Aug, Oct</t>
  </si>
  <si>
    <t xml:space="preserve">Baru send ke WA Mba Restu</t>
  </si>
  <si>
    <t xml:space="preserve">Also an HKD version</t>
  </si>
  <si>
    <t xml:space="preserve">stress test</t>
  </si>
  <si>
    <t xml:space="preserve">ATMR (risk-weighted assets)</t>
  </si>
  <si>
    <t xml:space="preserve">Confirm: monthly or quarterly</t>
  </si>
  <si>
    <t xml:space="preserve">atmr</t>
  </si>
  <si>
    <t xml:space="preserve">FIN-KPMM</t>
  </si>
  <si>
    <t xml:space="preserve">KPMM / capital adequacy</t>
  </si>
  <si>
    <t xml:space="preserve">Email: bagianlpk@corp.bri.co.id</t>
  </si>
  <si>
    <t xml:space="preserve">kpmm, permodalan</t>
  </si>
  <si>
    <t xml:space="preserve">FIN-CAPEX</t>
  </si>
  <si>
    <t xml:space="preserve">CAPEX reporting</t>
  </si>
  <si>
    <t xml:space="preserve">Jul, Aug, Sep</t>
  </si>
  <si>
    <t xml:space="preserve">email: bri.sbm@bri.co.id</t>
  </si>
  <si>
    <t xml:space="preserve">capex</t>
  </si>
  <si>
    <t xml:space="preserve">FIN-PROJ</t>
  </si>
  <si>
    <t xml:space="preserve">RKAP, budget &amp; financial projections</t>
  </si>
  <si>
    <t xml:space="preserve">Jul, Sep, Oct</t>
  </si>
  <si>
    <t xml:space="preserve">acc&amp;fin group &amp; sbm</t>
  </si>
  <si>
    <t xml:space="preserve">Prognosa laba may be monthly</t>
  </si>
  <si>
    <t xml:space="preserve">rkap, proyeksi, prognosa</t>
  </si>
  <si>
    <t xml:space="preserve">FIN-GROUPCONF</t>
  </si>
  <si>
    <t xml:space="preserve">Group financial confirmations (FRP, ICOFR, employee benefits, CBCR)</t>
  </si>
  <si>
    <t xml:space="preserve">WA ke Pak Haris SBM</t>
  </si>
  <si>
    <t xml:space="preserve">Confirm frequency</t>
  </si>
  <si>
    <t xml:space="preserve">frp, icofr, imbalan kerja, cbcr, intragroup</t>
  </si>
  <si>
    <t xml:space="preserve">FIN-AKAM</t>
  </si>
  <si>
    <t xml:space="preserve">AKAM data pack (bank statement, loan portfolio, POS, LexisNexis)</t>
  </si>
  <si>
    <t xml:space="preserve">AKAM</t>
  </si>
  <si>
    <t xml:space="preserve">Jul</t>
  </si>
  <si>
    <t xml:space="preserve">pak dicki</t>
  </si>
  <si>
    <t xml:space="preserve">akam, loan portfolio, lexis nexis, bank statement, loan portofolio, transaction pos</t>
  </si>
  <si>
    <t xml:space="preserve">CMP-CALK</t>
  </si>
  <si>
    <t xml:space="preserve">CALK, Longform &amp; Representation Letter</t>
  </si>
  <si>
    <t xml:space="preserve">SBM Group</t>
  </si>
  <si>
    <t xml:space="preserve">calk, longform, representation letter</t>
  </si>
  <si>
    <t xml:space="preserve">CMP-TATAKELOLA</t>
  </si>
  <si>
    <t xml:space="preserve">Corporate governance report (Laporan Tata Kelola)</t>
  </si>
  <si>
    <t xml:space="preserve">Mas Faiq</t>
  </si>
  <si>
    <t xml:space="preserve">laporan tata kelola, tata kelola perusahaan</t>
  </si>
  <si>
    <t xml:space="preserve">CMP-SAGCG</t>
  </si>
  <si>
    <t xml:space="preserve">GCG self-assessment</t>
  </si>
  <si>
    <t xml:space="preserve">Semester</t>
  </si>
  <si>
    <t xml:space="preserve">Email: kepatuhan@corp.bri.co.id</t>
  </si>
  <si>
    <t xml:space="preserve">sa gcg, self assessment gcg, penilaian gcg</t>
  </si>
  <si>
    <t xml:space="preserve">CMP-SATKT</t>
  </si>
  <si>
    <t xml:space="preserve">Integrated governance self-assessment (SA TKT)</t>
  </si>
  <si>
    <t xml:space="preserve">Jan, Jul</t>
  </si>
  <si>
    <t xml:space="preserve">sa tkt, tata kelola terintegrasi</t>
  </si>
  <si>
    <t xml:space="preserve">CMP-KTKT</t>
  </si>
  <si>
    <t xml:space="preserve">Integrated Governance Committee (KTKT)</t>
  </si>
  <si>
    <t xml:space="preserve">Jul, Sep</t>
  </si>
  <si>
    <t xml:space="preserve">ktkt, komite tata kelola terintegrasi</t>
  </si>
  <si>
    <t xml:space="preserve">CMP-MR</t>
  </si>
  <si>
    <t xml:space="preserve">Risk management implementation reports (credit &amp; operational)</t>
  </si>
  <si>
    <t xml:space="preserve">Feb, Jul</t>
  </si>
  <si>
    <t xml:space="preserve">to a.fatmawati@brilian.bri.co.id</t>
  </si>
  <si>
    <t xml:space="preserve">manajemen risiko kredit, manajemen risiko operasional, laporan mr, risiko operasional, manajemen risiko</t>
  </si>
  <si>
    <t xml:space="preserve">CMP-HEALTH</t>
  </si>
  <si>
    <t xml:space="preserve">Company health assessment (Tingkat Kesehatan, TKB)</t>
  </si>
  <si>
    <t xml:space="preserve">tingkat kesehatan, kesehatan perusahaan, tkb, tkb kertas kerja</t>
  </si>
  <si>
    <t xml:space="preserve">CMP-RELATED</t>
  </si>
  <si>
    <t xml:space="preserve">Related parties report (Pihak Terkait)</t>
  </si>
  <si>
    <t xml:space="preserve">upload di onedrive</t>
  </si>
  <si>
    <t xml:space="preserve">pihak terkait</t>
  </si>
  <si>
    <t xml:space="preserve">CMP-OWNERSHIP</t>
  </si>
  <si>
    <t xml:space="preserve">Shareholding &amp; conglomerate member data</t>
  </si>
  <si>
    <t xml:space="preserve">Jul, Aug</t>
  </si>
  <si>
    <t xml:space="preserve">kepemilikan saham, anggota konglomerasi</t>
  </si>
  <si>
    <t xml:space="preserve">CMP-PUBLIKASI</t>
  </si>
  <si>
    <t xml:space="preserve">Risk &amp; capital publication list</t>
  </si>
  <si>
    <t xml:space="preserve">Email: ayu.putu.alika.pramesvari@brilian.bri.co.id, rini.astuti@corp.bri.co.id</t>
  </si>
  <si>
    <t xml:space="preserve">laporan publikasi, publikasi eksposur</t>
  </si>
  <si>
    <t xml:space="preserve">CMP-KKDATA</t>
  </si>
  <si>
    <t xml:space="preserve">BRI conglomerate data updates (negative news, complaints, core debtors, credit by segment)</t>
  </si>
  <si>
    <t xml:space="preserve">Aug</t>
  </si>
  <si>
    <t xml:space="preserve">Email Mba Rafa</t>
  </si>
  <si>
    <t xml:space="preserve">pemberitaan negatif, pengaduan nasabah, debitur inti, kredit per segmen</t>
  </si>
  <si>
    <t xml:space="preserve">CMP-SINERGI</t>
  </si>
  <si>
    <t xml:space="preserve">BRI synergy realisation</t>
  </si>
  <si>
    <t xml:space="preserve">Oct</t>
  </si>
  <si>
    <t xml:space="preserve">Sent to Email SBM</t>
  </si>
  <si>
    <t xml:space="preserve">sinergi</t>
  </si>
  <si>
    <t xml:space="preserve">CMP-ESG</t>
  </si>
  <si>
    <t xml:space="preserve">Emissions working paper (Scope 1 &amp; 2)</t>
  </si>
  <si>
    <t xml:space="preserve">emisi, scope 1, scope 2</t>
  </si>
  <si>
    <t xml:space="preserve">CMP-FORUM</t>
  </si>
  <si>
    <t xml:space="preserve">Subsidiaries Forum, Genba &amp; RMCT materials</t>
  </si>
  <si>
    <t xml:space="preserve">Aug, Oct</t>
  </si>
  <si>
    <t xml:space="preserve">Lewat Pak Dicki</t>
  </si>
  <si>
    <t xml:space="preserve">subsidiaries forum, genba, rmct</t>
  </si>
  <si>
    <t xml:space="preserve">CMP-AML</t>
  </si>
  <si>
    <t xml:space="preserve">AML/CFT (APU PPT) evaluation</t>
  </si>
  <si>
    <t xml:space="preserve">submitted to meisya by wa</t>
  </si>
  <si>
    <t xml:space="preserve">apu ppt, apu-ppt, aml</t>
  </si>
  <si>
    <t xml:space="preserve">REG-CR-QR</t>
  </si>
  <si>
    <t xml:space="preserve">Companies Registry quarterly return (complaints &amp; debt collection)</t>
  </si>
  <si>
    <t xml:space="preserve">Companies Registry</t>
  </si>
  <si>
    <t xml:space="preserve">Feb, Jul, Oct</t>
  </si>
  <si>
    <t xml:space="preserve">mlu@cr.gov.hk</t>
  </si>
  <si>
    <t xml:space="preserve">Due 15th of the month after quarter-end (check)</t>
  </si>
  <si>
    <t xml:space="preserve">complaint handling, debt collector, quarterly return</t>
  </si>
  <si>
    <t xml:space="preserve">REG-CR-PL</t>
  </si>
  <si>
    <t xml:space="preserve">Companies Registry personal loan report</t>
  </si>
  <si>
    <t xml:space="preserve">Jan</t>
  </si>
  <si>
    <t xml:space="preserve">by email</t>
  </si>
  <si>
    <t xml:space="preserve">personal loan</t>
  </si>
  <si>
    <t xml:space="preserve">REG-ML</t>
  </si>
  <si>
    <t xml:space="preserve">Money lender licence renewal &amp; forms</t>
  </si>
  <si>
    <t xml:space="preserve">money lender</t>
  </si>
  <si>
    <t xml:space="preserve">REG-MSO</t>
  </si>
  <si>
    <t xml:space="preserve">MSO licence renewal &amp; requests</t>
  </si>
  <si>
    <t xml:space="preserve">Aug, Sep, Oct</t>
  </si>
  <si>
    <t xml:space="preserve">MSO Office</t>
  </si>
  <si>
    <t xml:space="preserve">Includes ad hoc officer requests</t>
  </si>
  <si>
    <t xml:space="preserve">mso</t>
  </si>
  <si>
    <t xml:space="preserve">REG-DBS</t>
  </si>
  <si>
    <t xml:space="preserve">DBS due diligence</t>
  </si>
  <si>
    <t xml:space="preserve">DBS</t>
  </si>
  <si>
    <t xml:space="preserve">dbs</t>
  </si>
  <si>
    <t xml:space="preserve">PR-RMI</t>
  </si>
  <si>
    <t xml:space="preserve">Risk Maturity Index (RMI)</t>
  </si>
  <si>
    <t xml:space="preserve">Jan, Dec</t>
  </si>
  <si>
    <t xml:space="preserve">rmi, risk maturity</t>
  </si>
  <si>
    <t xml:space="preserve">PR-MATURITY</t>
  </si>
  <si>
    <t xml:space="preserve">Compliance &amp; governance maturity working papers</t>
  </si>
  <si>
    <t xml:space="preserve">maturitas kepatuhan, maturitas tata kelola</t>
  </si>
  <si>
    <t xml:space="preserve">AUD-WBS</t>
  </si>
  <si>
    <t xml:space="preserve">Whistleblowing (WBS) report</t>
  </si>
  <si>
    <t xml:space="preserve">Adel</t>
  </si>
  <si>
    <t xml:space="preserve">wbs, whistleblowing</t>
  </si>
  <si>
    <t xml:space="preserve">AUD-REQ</t>
  </si>
  <si>
    <t xml:space="preserve">Internal audit requests (SKAI, IA maturity, audit confirmations)</t>
  </si>
  <si>
    <t xml:space="preserve">Ad hoc</t>
  </si>
  <si>
    <t xml:space="preserve">GRC</t>
  </si>
  <si>
    <t xml:space="preserve">skai, internal audit, audit, ia maturitas, sdm profile ia, maturitas fungsi internal audit</t>
  </si>
  <si>
    <t xml:space="preserve">HR-DATA</t>
  </si>
  <si>
    <t xml:space="preserve">Employee data &amp; talent mapping</t>
  </si>
  <si>
    <t xml:space="preserve">bri.sbm@bri.co.id</t>
  </si>
  <si>
    <t xml:space="preserve">data pegawai, data karyawan, talent, outsource</t>
  </si>
  <si>
    <t xml:space="preserve">HR-POLICY</t>
  </si>
  <si>
    <t xml:space="preserve">HR policies &amp; HC assessments</t>
  </si>
  <si>
    <t xml:space="preserve">hirza.sitaningtyas@bri.co.id</t>
  </si>
  <si>
    <t xml:space="preserve">hcma, recruitment, salary, kontrak kerja, hc policy, hc maturity, working contract, employer branding, well-being, wellbeing, hc policies</t>
  </si>
  <si>
    <t xml:space="preserve">ADHOC-CMP</t>
  </si>
  <si>
    <t xml:space="preserve">Ad hoc request: Compliance</t>
  </si>
  <si>
    <t xml:space="preserve">Feb, Jul, Aug, Sep, Oct</t>
  </si>
  <si>
    <t xml:space="preserve">No fixed owner: least-busy person in division</t>
  </si>
  <si>
    <t xml:space="preserve">ADHOC-PR</t>
  </si>
  <si>
    <t xml:space="preserve">Ad hoc request: Policy and Risk</t>
  </si>
  <si>
    <t xml:space="preserve">Email Mba Restu &amp; Rafa</t>
  </si>
  <si>
    <t xml:space="preserve">ADHOC-FIN</t>
  </si>
  <si>
    <t xml:space="preserve">Ad hoc request: Finance</t>
  </si>
  <si>
    <t xml:space="preserve">Route to division</t>
  </si>
  <si>
    <t xml:space="preserve">Times seen</t>
  </si>
  <si>
    <t xml:space="preserve">Divisions seen</t>
  </si>
  <si>
    <t xml:space="preserve">Example letter no.</t>
  </si>
  <si>
    <t xml:space="preserve">DIR/ASQ</t>
  </si>
  <si>
    <t xml:space="preserve">R.44.e-DIR/ASQ/10/2026</t>
  </si>
  <si>
    <t xml:space="preserve">DIR/SBM</t>
  </si>
  <si>
    <t xml:space="preserve">R.5155-DIR/SBM/09/2026</t>
  </si>
  <si>
    <t xml:space="preserve">B.73.e-EMR/IRM/09/2026</t>
  </si>
  <si>
    <t xml:space="preserve">IDR/KEP</t>
  </si>
  <si>
    <t xml:space="preserve">R.11-IDR/KEP/IGD/08/2026</t>
  </si>
  <si>
    <t xml:space="preserve">KEP/ING</t>
  </si>
  <si>
    <t xml:space="preserve">B. 24 -KEP/ING/IGD/09/2026</t>
  </si>
  <si>
    <t xml:space="preserve">SBM/CMI</t>
  </si>
  <si>
    <t xml:space="preserve">Nota Dinas SBM No. R.54.e-SBM/CMI/07/2026</t>
  </si>
  <si>
    <t xml:space="preserve">SBM/GVD</t>
  </si>
  <si>
    <t xml:space="preserve">B.44.e-SBM/GVD/09/2026</t>
  </si>
  <si>
    <t xml:space="preserve">SBM/SNG</t>
  </si>
  <si>
    <t xml:space="preserve">Compliance, Finance</t>
  </si>
  <si>
    <t xml:space="preserve">B.275.e-SBM/SNG/10/2026</t>
  </si>
  <si>
    <t xml:space="preserve">Timestamp</t>
  </si>
  <si>
    <t xml:space="preserve">User</t>
  </si>
  <si>
    <t xml:space="preserve">Task ID</t>
  </si>
  <si>
    <t xml:space="preserve">Action</t>
  </si>
  <si>
    <t xml:space="preserve">Field</t>
  </si>
  <si>
    <t xml:space="preserve">Old value</t>
  </si>
  <si>
    <t xml:space="preserve">New value</t>
  </si>
  <si>
    <t xml:space="preserve">Reason</t>
  </si>
  <si>
    <t xml:space="preserve">Filled automatically by the app. Do not edit by hand.</t>
  </si>
  <si>
    <t xml:space="preserve">Setting</t>
  </si>
  <si>
    <t xml:space="preserve">Value</t>
  </si>
  <si>
    <t xml:space="preserve">What it does</t>
  </si>
  <si>
    <t xml:space="preserve">Effort: Small</t>
  </si>
  <si>
    <t xml:space="preserve">Workload weight of a Small task (PRD scale or set by hand)</t>
  </si>
  <si>
    <t xml:space="preserve">Effort: Medium</t>
  </si>
  <si>
    <t xml:space="preserve">Weight of a Medium task. Tasks with no effort set count as Medium</t>
  </si>
  <si>
    <t xml:space="preserve">Effort: Large</t>
  </si>
  <si>
    <t xml:space="preserve">Weight of a Large task</t>
  </si>
  <si>
    <t xml:space="preserve">Support share</t>
  </si>
  <si>
    <t xml:space="preserve">A supporting person carries this share of the task weight</t>
  </si>
  <si>
    <t xml:space="preserve">Overload threshold</t>
  </si>
  <si>
    <t xml:space="preserve">Weighted open load above this = propose the backup instead (to be tuned)</t>
  </si>
  <si>
    <t xml:space="preserve">Stale after (days)</t>
  </si>
  <si>
    <t xml:space="preserve">In Progress with no update for this many days = stale alert</t>
  </si>
  <si>
    <t xml:space="preserve">Reminder time</t>
  </si>
  <si>
    <t xml:space="preserve">09:00</t>
  </si>
  <si>
    <t xml:space="preserve">Daily digest email time (Hong Kong)</t>
  </si>
  <si>
    <t xml:space="preserve">Leaving warning (days)</t>
  </si>
  <si>
    <t xml:space="preserve">Warn this many days before an intern's end date if they still own reports</t>
  </si>
  <si>
    <t xml:space="preserve">Unknown letter code</t>
  </si>
  <si>
    <t xml:space="preserve">Needs review</t>
  </si>
  <si>
    <t xml:space="preserve">What routing does when a letter code is not in LetterCodes</t>
  </si>
  <si>
    <t xml:space="preserve">Manager email</t>
  </si>
  <si>
    <t xml:space="preserve">Gets the daily approval + overdue digest. Fill in.</t>
  </si>
  <si>
    <t xml:space="preserve">Allowed email domain</t>
  </si>
  <si>
    <t xml:space="preserve">Only people with this email domain can log tasks via Chat, e.g. bri.co.id. Fill in.</t>
  </si>
  <si>
    <t xml:space="preserve">Gmail intake label</t>
  </si>
  <si>
    <t xml:space="preserve">GRC/To log</t>
  </si>
  <si>
    <t xml:space="preserve">Emails with this Gmail label become tasks</t>
  </si>
  <si>
    <t xml:space="preserve">Gmail done label</t>
  </si>
  <si>
    <t xml:space="preserve">GRC/Logged</t>
  </si>
  <si>
    <t xml:space="preserve">Applied after an email is logged</t>
  </si>
  <si>
    <t xml:space="preserve">Recurring lead (days)</t>
  </si>
  <si>
    <t xml:space="preserve">Recurring reports are created this many days before their due date</t>
  </si>
  <si>
    <t xml:space="preserve">Default due (days)</t>
  </si>
  <si>
    <t xml:space="preserve">Due date used when none is found in the message</t>
  </si>
  <si>
    <t xml:space="preserve">Yellow = to confirm or fill in. Blue numbers = settings you can change; formulas in Master and Staff read them.</t>
  </si>
  <si>
    <t xml:space="preserve">Name merges: Ste/Stes→Stesya, Ve/Lovenya→Venya, Kak Leila→Leila, Sel/Seline→Selina, Ci→Cia, Pak Dicki→Dicki, Adel→Adeline, Hil→Hillary, Pak Ben→Ben.</t>
  </si>
  <si>
    <t xml:space="preserve">Guesses to check: Lovenya = Venya, Adel = Adeline, Hil = Hillary. Cynthia, Cindy and Cia are kept as three people.</t>
  </si>
  <si>
    <t xml:space="preserve">Assignee "All" or "GRC" = Whole team: Yes, no owner. PRD assessments are put under Policy and Risk (check).</t>
  </si>
  <si>
    <t xml:space="preserve">Status is simplified to Not Started / In Progress / On Hold / Done ("DONE &amp; SUBMITTED" → Done).</t>
  </si>
  <si>
    <t xml:space="preserve">Effort and Weight are new: only PRD rows have an effort today; everything else defaults to Medium.</t>
  </si>
  <si>
    <t xml:space="preserve">Master starts empty except three [EXAMPLE] rows (status Done, so they do not count toward load). Delete them before go-live.</t>
  </si>
  <si>
    <t xml:space="preserve">Catalog owners, backups and due days were learned from the Jan–Oct 2026 tabs, which stay in the old file as an archive.</t>
  </si>
  <si>
    <t xml:space="preserve">Status "Proposed" = the script suggested an owner; the manager changes it to Not Started to approve. "Cancelled" = dropped on purpose.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</si>
</sst>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9" min="8" style="1" width="11"/>
    <col collapsed="false" customWidth="true" hidden="false" outlineLevel="0" max="10" min="10" style="1" width="18"/>
    <col collapsed="false" customWidth="true" hidden="false" outlineLevel="0" max="11" min="11" style="1" width="8"/>
    <col collapsed="false" customWidth="true" hidden="false" outlineLevel="0" max="12" min="12" style="1" width="24"/>
    <col collapsed="false" customWidth="true" hidden="false" outlineLevel="0" max="13" min="13" style="1" width="11"/>
    <col collapsed="false" customWidth="true" hidden="false" outlineLevel="0" max="14" min="14" style="1" width="26"/>
    <col collapsed="false" customWidth="true" hidden="false" outlineLevel="0" max="17" min="15" style="1" width="12"/>
    <col collapsed="false" customWidth="true" hidden="false" outlineLevel="0" max="19" min="18" style="1" width="9"/>
    <col collapsed="false" customWidth="true" hidden="false" outlineLevel="0" max="20" min="20" style="1" width="8"/>
    <col collapsed="false" customWidth="true" hidden="false" outlineLevel="0" max="21" min="21" style="1" width="9"/>
    <col collapsed="false" customWidth="true" hidden="false" outlineLevel="0" max="23" min="22" style="1" width="12"/>
    <col collapsed="false" customWidth="true" hidden="false" outlineLevel="0" max="24" min="24" style="1" width="30"/>
    <col collapsed="false" customWidth="true" hidden="false" outlineLevel="0" max="25" min="25" style="1" width="24"/>
    <col collapsed="false" customWidth="true" hidden="false" outlineLevel="0" max="26" min="26" style="1" width="28"/>
    <col collapsed="false" customWidth="true" hidden="false" outlineLevel="0" max="27" min="27" style="1" width="30"/>
    <col collapsed="false" customWidth="true" hidden="false" outlineLevel="0" max="28" min="28" style="1" width="26"/>
    <col collapsed="false" customWidth="true" hidden="false" outlineLevel="0" max="29" min="29" style="1" width="36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34.5" hidden="false" customHeight="true" outlineLevel="0" collapsed="false">
      <c r="A2" s="3" t="s">
        <v>29</v>
      </c>
      <c r="B2" s="3" t="s">
        <v>30</v>
      </c>
      <c r="C2" s="4" t="s">
        <v>31</v>
      </c>
      <c r="D2" s="3" t="s">
        <v>32</v>
      </c>
      <c r="E2" s="3" t="s">
        <v>33</v>
      </c>
      <c r="F2" s="3" t="s">
        <v>34</v>
      </c>
      <c r="G2" s="3" t="s">
        <v>33</v>
      </c>
      <c r="H2" s="3" t="s">
        <v>35</v>
      </c>
      <c r="I2" s="3" t="s">
        <v>35</v>
      </c>
      <c r="J2" s="3"/>
      <c r="K2" s="3"/>
      <c r="L2" s="3" t="s">
        <v>36</v>
      </c>
      <c r="M2" s="3" t="s">
        <v>37</v>
      </c>
      <c r="N2" s="3" t="s">
        <v>36</v>
      </c>
      <c r="O2" s="5" t="n">
        <v>46302</v>
      </c>
      <c r="P2" s="5" t="n">
        <v>46310</v>
      </c>
      <c r="Q2" s="5" t="n">
        <v>46307</v>
      </c>
      <c r="R2" s="3"/>
      <c r="S2" s="3"/>
      <c r="T2" s="3" t="n">
        <f aca="false">IFERROR(VLOOKUP("Effort: "&amp;IF(S2="","Medium",S2),Config!$A$2:$B$4,2,FALSE()),Config!$B$3)</f>
        <v>2</v>
      </c>
      <c r="U2" s="6" t="n">
        <v>1</v>
      </c>
      <c r="V2" s="3" t="s">
        <v>38</v>
      </c>
      <c r="W2" s="5"/>
      <c r="X2" s="4"/>
      <c r="Y2" s="4" t="s">
        <v>39</v>
      </c>
      <c r="Z2" s="4" t="s">
        <v>40</v>
      </c>
      <c r="AA2" s="4"/>
      <c r="AB2" s="3" t="s">
        <v>41</v>
      </c>
      <c r="AC2" s="7"/>
    </row>
    <row r="3" customFormat="false" ht="23.25" hidden="false" customHeight="true" outlineLevel="0" collapsed="false">
      <c r="A3" s="3" t="s">
        <v>42</v>
      </c>
      <c r="B3" s="3" t="s">
        <v>43</v>
      </c>
      <c r="C3" s="4" t="s">
        <v>44</v>
      </c>
      <c r="D3" s="3"/>
      <c r="E3" s="3" t="s">
        <v>45</v>
      </c>
      <c r="F3" s="3"/>
      <c r="G3" s="3"/>
      <c r="H3" s="3" t="s">
        <v>46</v>
      </c>
      <c r="I3" s="3" t="s">
        <v>46</v>
      </c>
      <c r="J3" s="3"/>
      <c r="K3" s="3"/>
      <c r="L3" s="3"/>
      <c r="M3" s="3"/>
      <c r="N3" s="3"/>
      <c r="O3" s="5" t="n">
        <v>46209</v>
      </c>
      <c r="P3" s="5" t="n">
        <v>46235</v>
      </c>
      <c r="Q3" s="5"/>
      <c r="R3" s="3" t="s">
        <v>47</v>
      </c>
      <c r="S3" s="3"/>
      <c r="T3" s="3" t="n">
        <f aca="false">IFERROR(VLOOKUP("Effort: "&amp;IF(S3="","Medium",S3),Config!$A$2:$B$4,2,FALSE()),Config!$B$3)</f>
        <v>2</v>
      </c>
      <c r="U3" s="6" t="n">
        <v>1</v>
      </c>
      <c r="V3" s="3" t="s">
        <v>38</v>
      </c>
      <c r="W3" s="5"/>
      <c r="X3" s="4" t="s">
        <v>48</v>
      </c>
      <c r="Y3" s="4"/>
      <c r="Z3" s="4" t="s">
        <v>40</v>
      </c>
      <c r="AA3" s="4"/>
      <c r="AB3" s="3" t="s">
        <v>49</v>
      </c>
      <c r="AC3" s="7"/>
    </row>
    <row r="4" customFormat="false" ht="34.5" hidden="false" customHeight="true" outlineLevel="0" collapsed="false">
      <c r="A4" s="3" t="s">
        <v>50</v>
      </c>
      <c r="B4" s="3" t="s">
        <v>51</v>
      </c>
      <c r="C4" s="4" t="s">
        <v>52</v>
      </c>
      <c r="D4" s="3"/>
      <c r="E4" s="3" t="s">
        <v>53</v>
      </c>
      <c r="F4" s="3" t="s">
        <v>34</v>
      </c>
      <c r="G4" s="3" t="s">
        <v>54</v>
      </c>
      <c r="H4" s="3" t="s">
        <v>46</v>
      </c>
      <c r="I4" s="3" t="s">
        <v>46</v>
      </c>
      <c r="J4" s="3"/>
      <c r="K4" s="3"/>
      <c r="L4" s="3"/>
      <c r="M4" s="3"/>
      <c r="N4" s="3"/>
      <c r="O4" s="5"/>
      <c r="P4" s="5" t="n">
        <v>46297</v>
      </c>
      <c r="Q4" s="5"/>
      <c r="R4" s="3"/>
      <c r="S4" s="3" t="s">
        <v>47</v>
      </c>
      <c r="T4" s="3" t="n">
        <f aca="false">IFERROR(VLOOKUP("Effort: "&amp;IF(S4="","Medium",S4),Config!$A$2:$B$4,2,FALSE()),Config!$B$3)</f>
        <v>2</v>
      </c>
      <c r="U4" s="6" t="n">
        <v>1</v>
      </c>
      <c r="V4" s="3" t="s">
        <v>38</v>
      </c>
      <c r="W4" s="5"/>
      <c r="X4" s="4" t="s">
        <v>55</v>
      </c>
      <c r="Y4" s="4"/>
      <c r="Z4" s="4" t="s">
        <v>40</v>
      </c>
      <c r="AA4" s="4"/>
      <c r="AB4" s="3" t="s">
        <v>56</v>
      </c>
      <c r="AC4" s="7"/>
    </row>
  </sheetData>
  <autoFilter ref="A1:AB4"/>
  <dataValidations count="6">
    <dataValidation allowBlank="true" errorStyle="stop" operator="between" showDropDown="false" showErrorMessage="false" showInputMessage="false" sqref="B2:B1004" type="list">
      <formula1>"Reporting,Project,Intern project,PRD assessment"</formula1>
      <formula2>0</formula2>
    </dataValidation>
    <dataValidation allowBlank="true" errorStyle="stop" operator="between" showDropDown="false" showErrorMessage="false" showInputMessage="false" sqref="F2:F1004" type="list">
      <formula1>"Compliance,Policy and Risk,Finance,HR,Audit"</formula1>
      <formula2>0</formula2>
    </dataValidation>
    <dataValidation allowBlank="true" errorStyle="stop" operator="between" showDropDown="false" showErrorMessage="false" showInputMessage="false" sqref="V2:V1004" type="list">
      <formula1>"Proposed,Not Started,In Progress,On Hold,Done,Cancelled"</formula1>
      <formula2>0</formula2>
    </dataValidation>
    <dataValidation allowBlank="true" errorStyle="stop" operator="between" showDropDown="false" showErrorMessage="false" showInputMessage="false" sqref="R2:R1004" type="list">
      <formula1>"High,Medium,Low"</formula1>
      <formula2>0</formula2>
    </dataValidation>
    <dataValidation allowBlank="true" errorStyle="stop" operator="between" showDropDown="false" showErrorMessage="false" showInputMessage="false" sqref="S2:S1004" type="list">
      <formula1>"Small,Medium,Large"</formula1>
      <formula2>0</formula2>
    </dataValidation>
    <dataValidation allowBlank="true" errorStyle="stop" operator="between" showDropDown="false" showErrorMessage="false" showInputMessage="false" sqref="K2:K1004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11"/>
    <col collapsed="false" customWidth="true" hidden="false" outlineLevel="0" max="6" min="6" style="1" width="26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11" min="9" style="1" width="10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5" min="15" style="1" width="26"/>
  </cols>
  <sheetData>
    <row r="1" customFormat="false" ht="31.5" hidden="false" customHeight="true" outlineLevel="0" collapsed="false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</row>
    <row r="2" customFormat="false" ht="15" hidden="false" customHeight="true" outlineLevel="0" collapsed="false">
      <c r="A2" s="3" t="s">
        <v>72</v>
      </c>
      <c r="B2" s="3" t="s">
        <v>73</v>
      </c>
      <c r="C2" s="4" t="s">
        <v>74</v>
      </c>
      <c r="D2" s="3" t="s">
        <v>34</v>
      </c>
      <c r="E2" s="8"/>
      <c r="F2" s="4"/>
      <c r="G2" s="9"/>
      <c r="H2" s="8" t="n">
        <v>1</v>
      </c>
      <c r="I2" s="3" t="n">
        <f aca="false">COUNTIFS(Master!$I$2:$I$2000,B2,Master!$V$2:$V$2000,"&lt;&gt;Done",Master!$V$2:$V$2000,"&lt;&gt;Cancelled",Master!$C$2:$C$2000,"&lt;&gt;")</f>
        <v>0</v>
      </c>
      <c r="J2" s="3" t="n">
        <f aca="false">SUMPRODUCT(ISNUMBER(SEARCH(B2,Master!$J$2:$J$2000))*(Master!$V$2:$V$2000&lt;&gt;"Done")*(Master!$V$2:$V$2000&lt;&gt;"Cancelled")*(Master!$C$2:$C$2000&lt;&gt;""))</f>
        <v>0</v>
      </c>
      <c r="K2" s="3" t="n">
        <f aca="true">COUNTIFS(Master!$H$2:$H$2000,B2,Master!$V$2:$V$2000,"&lt;&gt;Done",Master!$V$2:$V$2000,"&lt;&gt;Cancelled",Master!$P$2:$P$2000,"&lt;"&amp;TODAY())</f>
        <v>0</v>
      </c>
      <c r="L2" s="10" t="n">
        <f aca="false">SUMPRODUCT((Master!$I$2:$I$2000=B2)*(Master!$V$2:$V$2000&lt;&gt;"Done")*(Master!$V$2:$V$2000&lt;&gt;"Cancelled")*Master!$T$2:$T$2000)+Config!$B$5*SUMPRODUCT(ISNUMBER(SEARCH(B2,Master!$J$2:$J$2000))*(Master!$V$2:$V$2000&lt;&gt;"Done")*(Master!$V$2:$V$2000&lt;&gt;"Cancelled")*Master!$T$2:$T$2000)</f>
        <v>0</v>
      </c>
      <c r="M2" s="10" t="n">
        <f aca="false">IF(OR(H2="",H2=0),"",L2/H2)</f>
        <v>0</v>
      </c>
      <c r="N2" s="3" t="n">
        <f aca="false">COUNTIF(Catalog!$F$2:$F$200,B2)</f>
        <v>13</v>
      </c>
      <c r="O2" s="8"/>
    </row>
    <row r="3" customFormat="false" ht="15" hidden="false" customHeight="true" outlineLevel="0" collapsed="false">
      <c r="A3" s="3" t="s">
        <v>75</v>
      </c>
      <c r="B3" s="3" t="s">
        <v>76</v>
      </c>
      <c r="C3" s="4" t="s">
        <v>77</v>
      </c>
      <c r="D3" s="3" t="s">
        <v>78</v>
      </c>
      <c r="E3" s="8"/>
      <c r="F3" s="4" t="s">
        <v>79</v>
      </c>
      <c r="G3" s="9"/>
      <c r="H3" s="8" t="n">
        <v>1</v>
      </c>
      <c r="I3" s="3" t="n">
        <f aca="false">COUNTIFS(Master!$I$2:$I$2000,B3,Master!$V$2:$V$2000,"&lt;&gt;Done",Master!$V$2:$V$2000,"&lt;&gt;Cancelled",Master!$C$2:$C$2000,"&lt;&gt;")</f>
        <v>0</v>
      </c>
      <c r="J3" s="3" t="n">
        <f aca="false">SUMPRODUCT(ISNUMBER(SEARCH(B3,Master!$J$2:$J$2000))*(Master!$V$2:$V$2000&lt;&gt;"Done")*(Master!$V$2:$V$2000&lt;&gt;"Cancelled")*(Master!$C$2:$C$2000&lt;&gt;""))</f>
        <v>0</v>
      </c>
      <c r="K3" s="3" t="n">
        <f aca="true">COUNTIFS(Master!$H$2:$H$2000,B3,Master!$V$2:$V$2000,"&lt;&gt;Done",Master!$V$2:$V$2000,"&lt;&gt;Cancelled",Master!$P$2:$P$2000,"&lt;"&amp;TODAY())</f>
        <v>0</v>
      </c>
      <c r="L3" s="10" t="n">
        <f aca="false">SUMPRODUCT((Master!$I$2:$I$2000=B3)*(Master!$V$2:$V$2000&lt;&gt;"Done")*(Master!$V$2:$V$2000&lt;&gt;"Cancelled")*Master!$T$2:$T$2000)+Config!$B$5*SUMPRODUCT(ISNUMBER(SEARCH(B3,Master!$J$2:$J$2000))*(Master!$V$2:$V$2000&lt;&gt;"Done")*(Master!$V$2:$V$2000&lt;&gt;"Cancelled")*Master!$T$2:$T$2000)</f>
        <v>0</v>
      </c>
      <c r="M3" s="10" t="n">
        <f aca="false">IF(OR(H3="",H3=0),"",L3/H3)</f>
        <v>0</v>
      </c>
      <c r="N3" s="3" t="n">
        <f aca="false">COUNTIF(Catalog!$F$2:$F$200,B3)</f>
        <v>1</v>
      </c>
      <c r="O3" s="8"/>
    </row>
    <row r="4" customFormat="false" ht="15" hidden="false" customHeight="true" outlineLevel="0" collapsed="false">
      <c r="A4" s="3" t="s">
        <v>80</v>
      </c>
      <c r="B4" s="3" t="s">
        <v>81</v>
      </c>
      <c r="C4" s="4" t="s">
        <v>82</v>
      </c>
      <c r="D4" s="3" t="s">
        <v>78</v>
      </c>
      <c r="E4" s="8"/>
      <c r="F4" s="4" t="s">
        <v>79</v>
      </c>
      <c r="G4" s="9"/>
      <c r="H4" s="8" t="n">
        <v>1</v>
      </c>
      <c r="I4" s="3" t="n">
        <f aca="false">COUNTIFS(Master!$I$2:$I$2000,B4,Master!$V$2:$V$2000,"&lt;&gt;Done",Master!$V$2:$V$2000,"&lt;&gt;Cancelled",Master!$C$2:$C$2000,"&lt;&gt;")</f>
        <v>0</v>
      </c>
      <c r="J4" s="3" t="n">
        <f aca="false">SUMPRODUCT(ISNUMBER(SEARCH(B4,Master!$J$2:$J$2000))*(Master!$V$2:$V$2000&lt;&gt;"Done")*(Master!$V$2:$V$2000&lt;&gt;"Cancelled")*(Master!$C$2:$C$2000&lt;&gt;""))</f>
        <v>0</v>
      </c>
      <c r="K4" s="3" t="n">
        <f aca="true">COUNTIFS(Master!$H$2:$H$2000,B4,Master!$V$2:$V$2000,"&lt;&gt;Done",Master!$V$2:$V$2000,"&lt;&gt;Cancelled",Master!$P$2:$P$2000,"&lt;"&amp;TODAY())</f>
        <v>0</v>
      </c>
      <c r="L4" s="10" t="n">
        <f aca="false">SUMPRODUCT((Master!$I$2:$I$2000=B4)*(Master!$V$2:$V$2000&lt;&gt;"Done")*(Master!$V$2:$V$2000&lt;&gt;"Cancelled")*Master!$T$2:$T$2000)+Config!$B$5*SUMPRODUCT(ISNUMBER(SEARCH(B4,Master!$J$2:$J$2000))*(Master!$V$2:$V$2000&lt;&gt;"Done")*(Master!$V$2:$V$2000&lt;&gt;"Cancelled")*Master!$T$2:$T$2000)</f>
        <v>0</v>
      </c>
      <c r="M4" s="10" t="n">
        <f aca="false">IF(OR(H4="",H4=0),"",L4/H4)</f>
        <v>0</v>
      </c>
      <c r="N4" s="3" t="n">
        <f aca="false">COUNTIF(Catalog!$F$2:$F$200,B4)</f>
        <v>1</v>
      </c>
      <c r="O4" s="8"/>
    </row>
    <row r="5" customFormat="false" ht="15" hidden="false" customHeight="true" outlineLevel="0" collapsed="false">
      <c r="A5" s="3" t="s">
        <v>83</v>
      </c>
      <c r="B5" s="3" t="s">
        <v>46</v>
      </c>
      <c r="C5" s="4" t="s">
        <v>46</v>
      </c>
      <c r="D5" s="3" t="s">
        <v>34</v>
      </c>
      <c r="E5" s="8"/>
      <c r="F5" s="4"/>
      <c r="G5" s="9"/>
      <c r="H5" s="8" t="n">
        <v>1</v>
      </c>
      <c r="I5" s="3" t="n">
        <f aca="false">COUNTIFS(Master!$I$2:$I$2000,B5,Master!$V$2:$V$2000,"&lt;&gt;Done",Master!$V$2:$V$2000,"&lt;&gt;Cancelled",Master!$C$2:$C$2000,"&lt;&gt;")</f>
        <v>0</v>
      </c>
      <c r="J5" s="3" t="n">
        <f aca="false">SUMPRODUCT(ISNUMBER(SEARCH(B5,Master!$J$2:$J$2000))*(Master!$V$2:$V$2000&lt;&gt;"Done")*(Master!$V$2:$V$2000&lt;&gt;"Cancelled")*(Master!$C$2:$C$2000&lt;&gt;""))</f>
        <v>0</v>
      </c>
      <c r="K5" s="3" t="n">
        <f aca="true">COUNTIFS(Master!$H$2:$H$2000,B5,Master!$V$2:$V$2000,"&lt;&gt;Done",Master!$V$2:$V$2000,"&lt;&gt;Cancelled",Master!$P$2:$P$2000,"&lt;"&amp;TODAY())</f>
        <v>0</v>
      </c>
      <c r="L5" s="10" t="n">
        <f aca="false">SUMPRODUCT((Master!$I$2:$I$2000=B5)*(Master!$V$2:$V$2000&lt;&gt;"Done")*(Master!$V$2:$V$2000&lt;&gt;"Cancelled")*Master!$T$2:$T$2000)+Config!$B$5*SUMPRODUCT(ISNUMBER(SEARCH(B5,Master!$J$2:$J$2000))*(Master!$V$2:$V$2000&lt;&gt;"Done")*(Master!$V$2:$V$2000&lt;&gt;"Cancelled")*Master!$T$2:$T$2000)</f>
        <v>0</v>
      </c>
      <c r="M5" s="10" t="n">
        <f aca="false">IF(OR(H5="",H5=0),"",L5/H5)</f>
        <v>0</v>
      </c>
      <c r="N5" s="3" t="n">
        <f aca="false">COUNTIF(Catalog!$F$2:$F$200,B5)</f>
        <v>5</v>
      </c>
      <c r="O5" s="8"/>
    </row>
    <row r="6" customFormat="false" ht="15" hidden="false" customHeight="true" outlineLevel="0" collapsed="false">
      <c r="A6" s="3" t="s">
        <v>84</v>
      </c>
      <c r="B6" s="3" t="s">
        <v>85</v>
      </c>
      <c r="C6" s="4" t="s">
        <v>86</v>
      </c>
      <c r="D6" s="3" t="s">
        <v>87</v>
      </c>
      <c r="E6" s="8"/>
      <c r="F6" s="4" t="s">
        <v>79</v>
      </c>
      <c r="G6" s="9"/>
      <c r="H6" s="8" t="n">
        <v>1</v>
      </c>
      <c r="I6" s="3" t="n">
        <f aca="false">COUNTIFS(Master!$I$2:$I$2000,B6,Master!$V$2:$V$2000,"&lt;&gt;Done",Master!$V$2:$V$2000,"&lt;&gt;Cancelled",Master!$C$2:$C$2000,"&lt;&gt;")</f>
        <v>0</v>
      </c>
      <c r="J6" s="3" t="n">
        <f aca="false">SUMPRODUCT(ISNUMBER(SEARCH(B6,Master!$J$2:$J$2000))*(Master!$V$2:$V$2000&lt;&gt;"Done")*(Master!$V$2:$V$2000&lt;&gt;"Cancelled")*(Master!$C$2:$C$2000&lt;&gt;""))</f>
        <v>0</v>
      </c>
      <c r="K6" s="3" t="n">
        <f aca="true">COUNTIFS(Master!$H$2:$H$2000,B6,Master!$V$2:$V$2000,"&lt;&gt;Done",Master!$V$2:$V$2000,"&lt;&gt;Cancelled",Master!$P$2:$P$2000,"&lt;"&amp;TODAY())</f>
        <v>0</v>
      </c>
      <c r="L6" s="10" t="n">
        <f aca="false">SUMPRODUCT((Master!$I$2:$I$2000=B6)*(Master!$V$2:$V$2000&lt;&gt;"Done")*(Master!$V$2:$V$2000&lt;&gt;"Cancelled")*Master!$T$2:$T$2000)+Config!$B$5*SUMPRODUCT(ISNUMBER(SEARCH(B6,Master!$J$2:$J$2000))*(Master!$V$2:$V$2000&lt;&gt;"Done")*(Master!$V$2:$V$2000&lt;&gt;"Cancelled")*Master!$T$2:$T$2000)</f>
        <v>0</v>
      </c>
      <c r="M6" s="10" t="n">
        <f aca="false">IF(OR(H6="",H6=0),"",L6/H6)</f>
        <v>0</v>
      </c>
      <c r="N6" s="3" t="n">
        <f aca="false">COUNTIF(Catalog!$F$2:$F$200,B6)</f>
        <v>0</v>
      </c>
      <c r="O6" s="8"/>
    </row>
    <row r="7" customFormat="false" ht="15" hidden="false" customHeight="true" outlineLevel="0" collapsed="false">
      <c r="A7" s="3" t="s">
        <v>88</v>
      </c>
      <c r="B7" s="3" t="s">
        <v>89</v>
      </c>
      <c r="C7" s="4" t="s">
        <v>89</v>
      </c>
      <c r="D7" s="3" t="s">
        <v>90</v>
      </c>
      <c r="E7" s="8"/>
      <c r="F7" s="4" t="s">
        <v>79</v>
      </c>
      <c r="G7" s="9"/>
      <c r="H7" s="8" t="n">
        <v>1</v>
      </c>
      <c r="I7" s="3" t="n">
        <f aca="false">COUNTIFS(Master!$I$2:$I$2000,B7,Master!$V$2:$V$2000,"&lt;&gt;Done",Master!$V$2:$V$2000,"&lt;&gt;Cancelled",Master!$C$2:$C$2000,"&lt;&gt;")</f>
        <v>0</v>
      </c>
      <c r="J7" s="3" t="n">
        <f aca="false">SUMPRODUCT(ISNUMBER(SEARCH(B7,Master!$J$2:$J$2000))*(Master!$V$2:$V$2000&lt;&gt;"Done")*(Master!$V$2:$V$2000&lt;&gt;"Cancelled")*(Master!$C$2:$C$2000&lt;&gt;""))</f>
        <v>0</v>
      </c>
      <c r="K7" s="3" t="n">
        <f aca="true">COUNTIFS(Master!$H$2:$H$2000,B7,Master!$V$2:$V$2000,"&lt;&gt;Done",Master!$V$2:$V$2000,"&lt;&gt;Cancelled",Master!$P$2:$P$2000,"&lt;"&amp;TODAY())</f>
        <v>0</v>
      </c>
      <c r="L7" s="10" t="n">
        <f aca="false">SUMPRODUCT((Master!$I$2:$I$2000=B7)*(Master!$V$2:$V$2000&lt;&gt;"Done")*(Master!$V$2:$V$2000&lt;&gt;"Cancelled")*Master!$T$2:$T$2000)+Config!$B$5*SUMPRODUCT(ISNUMBER(SEARCH(B7,Master!$J$2:$J$2000))*(Master!$V$2:$V$2000&lt;&gt;"Done")*(Master!$V$2:$V$2000&lt;&gt;"Cancelled")*Master!$T$2:$T$2000)</f>
        <v>0</v>
      </c>
      <c r="M7" s="10" t="n">
        <f aca="false">IF(OR(H7="",H7=0),"",L7/H7)</f>
        <v>0</v>
      </c>
      <c r="N7" s="3" t="n">
        <f aca="false">COUNTIF(Catalog!$F$2:$F$200,B7)</f>
        <v>4</v>
      </c>
      <c r="O7" s="8"/>
    </row>
    <row r="8" customFormat="false" ht="15" hidden="false" customHeight="true" outlineLevel="0" collapsed="false">
      <c r="A8" s="3" t="s">
        <v>91</v>
      </c>
      <c r="B8" s="3" t="s">
        <v>35</v>
      </c>
      <c r="C8" s="4" t="s">
        <v>92</v>
      </c>
      <c r="D8" s="3" t="s">
        <v>78</v>
      </c>
      <c r="E8" s="8"/>
      <c r="F8" s="4"/>
      <c r="G8" s="9"/>
      <c r="H8" s="8" t="n">
        <v>1</v>
      </c>
      <c r="I8" s="3" t="n">
        <f aca="false">COUNTIFS(Master!$I$2:$I$2000,B8,Master!$V$2:$V$2000,"&lt;&gt;Done",Master!$V$2:$V$2000,"&lt;&gt;Cancelled",Master!$C$2:$C$2000,"&lt;&gt;")</f>
        <v>0</v>
      </c>
      <c r="J8" s="3" t="n">
        <f aca="false">SUMPRODUCT(ISNUMBER(SEARCH(B8,Master!$J$2:$J$2000))*(Master!$V$2:$V$2000&lt;&gt;"Done")*(Master!$V$2:$V$2000&lt;&gt;"Cancelled")*(Master!$C$2:$C$2000&lt;&gt;""))</f>
        <v>0</v>
      </c>
      <c r="K8" s="3" t="n">
        <f aca="true">COUNTIFS(Master!$H$2:$H$2000,B8,Master!$V$2:$V$2000,"&lt;&gt;Done",Master!$V$2:$V$2000,"&lt;&gt;Cancelled",Master!$P$2:$P$2000,"&lt;"&amp;TODAY())</f>
        <v>0</v>
      </c>
      <c r="L8" s="10" t="n">
        <f aca="false">SUMPRODUCT((Master!$I$2:$I$2000=B8)*(Master!$V$2:$V$2000&lt;&gt;"Done")*(Master!$V$2:$V$2000&lt;&gt;"Cancelled")*Master!$T$2:$T$2000)+Config!$B$5*SUMPRODUCT(ISNUMBER(SEARCH(B8,Master!$J$2:$J$2000))*(Master!$V$2:$V$2000&lt;&gt;"Done")*(Master!$V$2:$V$2000&lt;&gt;"Cancelled")*Master!$T$2:$T$2000)</f>
        <v>0</v>
      </c>
      <c r="M8" s="10" t="n">
        <f aca="false">IF(OR(H8="",H8=0),"",L8/H8)</f>
        <v>0</v>
      </c>
      <c r="N8" s="3" t="n">
        <f aca="false">COUNTIF(Catalog!$F$2:$F$200,B8)</f>
        <v>8</v>
      </c>
      <c r="O8" s="8"/>
    </row>
    <row r="9" customFormat="false" ht="15" hidden="false" customHeight="true" outlineLevel="0" collapsed="false">
      <c r="A9" s="3" t="s">
        <v>93</v>
      </c>
      <c r="B9" s="3" t="s">
        <v>94</v>
      </c>
      <c r="C9" s="4" t="s">
        <v>94</v>
      </c>
      <c r="D9" s="3" t="s">
        <v>95</v>
      </c>
      <c r="E9" s="8"/>
      <c r="F9" s="4" t="s">
        <v>79</v>
      </c>
      <c r="G9" s="9"/>
      <c r="H9" s="8" t="n">
        <v>1</v>
      </c>
      <c r="I9" s="3" t="n">
        <f aca="false">COUNTIFS(Master!$I$2:$I$2000,B9,Master!$V$2:$V$2000,"&lt;&gt;Done",Master!$V$2:$V$2000,"&lt;&gt;Cancelled",Master!$C$2:$C$2000,"&lt;&gt;")</f>
        <v>0</v>
      </c>
      <c r="J9" s="3" t="n">
        <f aca="false">SUMPRODUCT(ISNUMBER(SEARCH(B9,Master!$J$2:$J$2000))*(Master!$V$2:$V$2000&lt;&gt;"Done")*(Master!$V$2:$V$2000&lt;&gt;"Cancelled")*(Master!$C$2:$C$2000&lt;&gt;""))</f>
        <v>0</v>
      </c>
      <c r="K9" s="3" t="n">
        <f aca="true">COUNTIFS(Master!$H$2:$H$2000,B9,Master!$V$2:$V$2000,"&lt;&gt;Done",Master!$V$2:$V$2000,"&lt;&gt;Cancelled",Master!$P$2:$P$2000,"&lt;"&amp;TODAY())</f>
        <v>0</v>
      </c>
      <c r="L9" s="10" t="n">
        <f aca="false">SUMPRODUCT((Master!$I$2:$I$2000=B9)*(Master!$V$2:$V$2000&lt;&gt;"Done")*(Master!$V$2:$V$2000&lt;&gt;"Cancelled")*Master!$T$2:$T$2000)+Config!$B$5*SUMPRODUCT(ISNUMBER(SEARCH(B9,Master!$J$2:$J$2000))*(Master!$V$2:$V$2000&lt;&gt;"Done")*(Master!$V$2:$V$2000&lt;&gt;"Cancelled")*Master!$T$2:$T$2000)</f>
        <v>0</v>
      </c>
      <c r="M9" s="10" t="n">
        <f aca="false">IF(OR(H9="",H9=0),"",L9/H9)</f>
        <v>0</v>
      </c>
      <c r="N9" s="3" t="n">
        <f aca="false">COUNTIF(Catalog!$F$2:$F$200,B9)</f>
        <v>1</v>
      </c>
      <c r="O9" s="8"/>
    </row>
    <row r="10" customFormat="false" ht="15" hidden="false" customHeight="true" outlineLevel="0" collapsed="false">
      <c r="A10" s="3" t="s">
        <v>96</v>
      </c>
      <c r="B10" s="3" t="s">
        <v>97</v>
      </c>
      <c r="C10" s="4" t="s">
        <v>97</v>
      </c>
      <c r="D10" s="3" t="s">
        <v>34</v>
      </c>
      <c r="E10" s="8"/>
      <c r="F10" s="4"/>
      <c r="G10" s="9"/>
      <c r="H10" s="8" t="n">
        <v>1</v>
      </c>
      <c r="I10" s="3" t="n">
        <f aca="false">COUNTIFS(Master!$I$2:$I$2000,B10,Master!$V$2:$V$2000,"&lt;&gt;Done",Master!$V$2:$V$2000,"&lt;&gt;Cancelled",Master!$C$2:$C$2000,"&lt;&gt;")</f>
        <v>0</v>
      </c>
      <c r="J10" s="3" t="n">
        <f aca="false">SUMPRODUCT(ISNUMBER(SEARCH(B10,Master!$J$2:$J$2000))*(Master!$V$2:$V$2000&lt;&gt;"Done")*(Master!$V$2:$V$2000&lt;&gt;"Cancelled")*(Master!$C$2:$C$2000&lt;&gt;""))</f>
        <v>0</v>
      </c>
      <c r="K10" s="3" t="n">
        <f aca="true">COUNTIFS(Master!$H$2:$H$2000,B10,Master!$V$2:$V$2000,"&lt;&gt;Done",Master!$V$2:$V$2000,"&lt;&gt;Cancelled",Master!$P$2:$P$2000,"&lt;"&amp;TODAY())</f>
        <v>0</v>
      </c>
      <c r="L10" s="10" t="n">
        <f aca="false">SUMPRODUCT((Master!$I$2:$I$2000=B10)*(Master!$V$2:$V$2000&lt;&gt;"Done")*(Master!$V$2:$V$2000&lt;&gt;"Cancelled")*Master!$T$2:$T$2000)+Config!$B$5*SUMPRODUCT(ISNUMBER(SEARCH(B10,Master!$J$2:$J$2000))*(Master!$V$2:$V$2000&lt;&gt;"Done")*(Master!$V$2:$V$2000&lt;&gt;"Cancelled")*Master!$T$2:$T$2000)</f>
        <v>0</v>
      </c>
      <c r="M10" s="10" t="n">
        <f aca="false">IF(OR(H10="",H10=0),"",L10/H10)</f>
        <v>0</v>
      </c>
      <c r="N10" s="3" t="n">
        <f aca="false">COUNTIF(Catalog!$F$2:$F$200,B10)</f>
        <v>2</v>
      </c>
      <c r="O10" s="8"/>
    </row>
    <row r="11" customFormat="false" ht="15" hidden="false" customHeight="true" outlineLevel="0" collapsed="false">
      <c r="A11" s="3" t="s">
        <v>98</v>
      </c>
      <c r="B11" s="3" t="s">
        <v>99</v>
      </c>
      <c r="C11" s="4" t="s">
        <v>100</v>
      </c>
      <c r="D11" s="3" t="s">
        <v>95</v>
      </c>
      <c r="E11" s="8"/>
      <c r="F11" s="4"/>
      <c r="G11" s="9"/>
      <c r="H11" s="8" t="n">
        <v>1</v>
      </c>
      <c r="I11" s="3" t="n">
        <f aca="false">COUNTIFS(Master!$I$2:$I$2000,B11,Master!$V$2:$V$2000,"&lt;&gt;Done",Master!$V$2:$V$2000,"&lt;&gt;Cancelled",Master!$C$2:$C$2000,"&lt;&gt;")</f>
        <v>0</v>
      </c>
      <c r="J11" s="3" t="n">
        <f aca="false">SUMPRODUCT(ISNUMBER(SEARCH(B11,Master!$J$2:$J$2000))*(Master!$V$2:$V$2000&lt;&gt;"Done")*(Master!$V$2:$V$2000&lt;&gt;"Cancelled")*(Master!$C$2:$C$2000&lt;&gt;""))</f>
        <v>0</v>
      </c>
      <c r="K11" s="3" t="n">
        <f aca="true">COUNTIFS(Master!$H$2:$H$2000,B11,Master!$V$2:$V$2000,"&lt;&gt;Done",Master!$V$2:$V$2000,"&lt;&gt;Cancelled",Master!$P$2:$P$2000,"&lt;"&amp;TODAY())</f>
        <v>0</v>
      </c>
      <c r="L11" s="10" t="n">
        <f aca="false">SUMPRODUCT((Master!$I$2:$I$2000=B11)*(Master!$V$2:$V$2000&lt;&gt;"Done")*(Master!$V$2:$V$2000&lt;&gt;"Cancelled")*Master!$T$2:$T$2000)+Config!$B$5*SUMPRODUCT(ISNUMBER(SEARCH(B11,Master!$J$2:$J$2000))*(Master!$V$2:$V$2000&lt;&gt;"Done")*(Master!$V$2:$V$2000&lt;&gt;"Cancelled")*Master!$T$2:$T$2000)</f>
        <v>0</v>
      </c>
      <c r="M11" s="10" t="n">
        <f aca="false">IF(OR(H11="",H11=0),"",L11/H11)</f>
        <v>0</v>
      </c>
      <c r="N11" s="3" t="n">
        <f aca="false">COUNTIF(Catalog!$F$2:$F$200,B11)</f>
        <v>1</v>
      </c>
      <c r="O11" s="8"/>
    </row>
    <row r="12" customFormat="false" ht="15" hidden="false" customHeight="true" outlineLevel="0" collapsed="false">
      <c r="A12" s="3" t="s">
        <v>101</v>
      </c>
      <c r="B12" s="3" t="s">
        <v>102</v>
      </c>
      <c r="C12" s="4" t="s">
        <v>103</v>
      </c>
      <c r="D12" s="3" t="s">
        <v>87</v>
      </c>
      <c r="E12" s="8"/>
      <c r="F12" s="4" t="s">
        <v>104</v>
      </c>
      <c r="G12" s="9"/>
      <c r="H12" s="8"/>
      <c r="I12" s="3" t="n">
        <f aca="false">COUNTIFS(Master!$I$2:$I$2000,B12,Master!$V$2:$V$2000,"&lt;&gt;Done",Master!$V$2:$V$2000,"&lt;&gt;Cancelled",Master!$C$2:$C$2000,"&lt;&gt;")</f>
        <v>0</v>
      </c>
      <c r="J12" s="3" t="n">
        <f aca="false">SUMPRODUCT(ISNUMBER(SEARCH(B12,Master!$J$2:$J$2000))*(Master!$V$2:$V$2000&lt;&gt;"Done")*(Master!$V$2:$V$2000&lt;&gt;"Cancelled")*(Master!$C$2:$C$2000&lt;&gt;""))</f>
        <v>0</v>
      </c>
      <c r="K12" s="3" t="n">
        <f aca="true">COUNTIFS(Master!$H$2:$H$2000,B12,Master!$V$2:$V$2000,"&lt;&gt;Done",Master!$V$2:$V$2000,"&lt;&gt;Cancelled",Master!$P$2:$P$2000,"&lt;"&amp;TODAY())</f>
        <v>0</v>
      </c>
      <c r="L12" s="10" t="n">
        <f aca="false">SUMPRODUCT((Master!$I$2:$I$2000=B12)*(Master!$V$2:$V$2000&lt;&gt;"Done")*(Master!$V$2:$V$2000&lt;&gt;"Cancelled")*Master!$T$2:$T$2000)+Config!$B$5*SUMPRODUCT(ISNUMBER(SEARCH(B12,Master!$J$2:$J$2000))*(Master!$V$2:$V$2000&lt;&gt;"Done")*(Master!$V$2:$V$2000&lt;&gt;"Cancelled")*Master!$T$2:$T$2000)</f>
        <v>0</v>
      </c>
      <c r="M12" s="10" t="str">
        <f aca="false">IF(OR(H12="",H12=0),"",L12/H12)</f>
        <v/>
      </c>
      <c r="N12" s="3" t="n">
        <f aca="false">COUNTIF(Catalog!$F$2:$F$200,B12)</f>
        <v>0</v>
      </c>
      <c r="O12" s="8"/>
    </row>
    <row r="13" customFormat="false" ht="15" hidden="false" customHeight="true" outlineLevel="0" collapsed="false">
      <c r="A13" s="3" t="s">
        <v>105</v>
      </c>
      <c r="B13" s="3" t="s">
        <v>106</v>
      </c>
      <c r="C13" s="4" t="s">
        <v>107</v>
      </c>
      <c r="D13" s="3" t="s">
        <v>87</v>
      </c>
      <c r="E13" s="8"/>
      <c r="F13" s="4" t="s">
        <v>108</v>
      </c>
      <c r="G13" s="9"/>
      <c r="H13" s="8" t="n">
        <v>1</v>
      </c>
      <c r="I13" s="3" t="n">
        <f aca="false">COUNTIFS(Master!$I$2:$I$2000,B13,Master!$V$2:$V$2000,"&lt;&gt;Done",Master!$V$2:$V$2000,"&lt;&gt;Cancelled",Master!$C$2:$C$2000,"&lt;&gt;")</f>
        <v>0</v>
      </c>
      <c r="J13" s="3" t="n">
        <f aca="false">SUMPRODUCT(ISNUMBER(SEARCH(B13,Master!$J$2:$J$2000))*(Master!$V$2:$V$2000&lt;&gt;"Done")*(Master!$V$2:$V$2000&lt;&gt;"Cancelled")*(Master!$C$2:$C$2000&lt;&gt;""))</f>
        <v>0</v>
      </c>
      <c r="K13" s="3" t="n">
        <f aca="true">COUNTIFS(Master!$H$2:$H$2000,B13,Master!$V$2:$V$2000,"&lt;&gt;Done",Master!$V$2:$V$2000,"&lt;&gt;Cancelled",Master!$P$2:$P$2000,"&lt;"&amp;TODAY())</f>
        <v>0</v>
      </c>
      <c r="L13" s="10" t="n">
        <f aca="false">SUMPRODUCT((Master!$I$2:$I$2000=B13)*(Master!$V$2:$V$2000&lt;&gt;"Done")*(Master!$V$2:$V$2000&lt;&gt;"Cancelled")*Master!$T$2:$T$2000)+Config!$B$5*SUMPRODUCT(ISNUMBER(SEARCH(B13,Master!$J$2:$J$2000))*(Master!$V$2:$V$2000&lt;&gt;"Done")*(Master!$V$2:$V$2000&lt;&gt;"Cancelled")*Master!$T$2:$T$2000)</f>
        <v>0</v>
      </c>
      <c r="M13" s="10" t="n">
        <f aca="false">IF(OR(H13="",H13=0),"",L13/H13)</f>
        <v>0</v>
      </c>
      <c r="N13" s="3" t="n">
        <f aca="false">COUNTIF(Catalog!$F$2:$F$200,B13)</f>
        <v>0</v>
      </c>
      <c r="O13" s="8"/>
    </row>
    <row r="14" customFormat="false" ht="15" hidden="false" customHeight="true" outlineLevel="0" collapsed="false">
      <c r="A14" s="3" t="s">
        <v>109</v>
      </c>
      <c r="B14" s="3" t="s">
        <v>110</v>
      </c>
      <c r="C14" s="4" t="s">
        <v>110</v>
      </c>
      <c r="D14" s="3" t="s">
        <v>34</v>
      </c>
      <c r="E14" s="8"/>
      <c r="F14" s="4"/>
      <c r="G14" s="9"/>
      <c r="H14" s="8" t="n">
        <v>1</v>
      </c>
      <c r="I14" s="3" t="n">
        <f aca="false">COUNTIFS(Master!$I$2:$I$2000,B14,Master!$V$2:$V$2000,"&lt;&gt;Done",Master!$V$2:$V$2000,"&lt;&gt;Cancelled",Master!$C$2:$C$2000,"&lt;&gt;")</f>
        <v>0</v>
      </c>
      <c r="J14" s="3" t="n">
        <f aca="false">SUMPRODUCT(ISNUMBER(SEARCH(B14,Master!$J$2:$J$2000))*(Master!$V$2:$V$2000&lt;&gt;"Done")*(Master!$V$2:$V$2000&lt;&gt;"Cancelled")*(Master!$C$2:$C$2000&lt;&gt;""))</f>
        <v>0</v>
      </c>
      <c r="K14" s="3" t="n">
        <f aca="true">COUNTIFS(Master!$H$2:$H$2000,B14,Master!$V$2:$V$2000,"&lt;&gt;Done",Master!$V$2:$V$2000,"&lt;&gt;Cancelled",Master!$P$2:$P$2000,"&lt;"&amp;TODAY())</f>
        <v>0</v>
      </c>
      <c r="L14" s="10" t="n">
        <f aca="false">SUMPRODUCT((Master!$I$2:$I$2000=B14)*(Master!$V$2:$V$2000&lt;&gt;"Done")*(Master!$V$2:$V$2000&lt;&gt;"Cancelled")*Master!$T$2:$T$2000)+Config!$B$5*SUMPRODUCT(ISNUMBER(SEARCH(B14,Master!$J$2:$J$2000))*(Master!$V$2:$V$2000&lt;&gt;"Done")*(Master!$V$2:$V$2000&lt;&gt;"Cancelled")*Master!$T$2:$T$2000)</f>
        <v>0</v>
      </c>
      <c r="M14" s="10" t="n">
        <f aca="false">IF(OR(H14="",H14=0),"",L14/H14)</f>
        <v>0</v>
      </c>
      <c r="N14" s="3" t="n">
        <f aca="false">COUNTIF(Catalog!$F$2:$F$200,B14)</f>
        <v>0</v>
      </c>
      <c r="O14" s="8"/>
    </row>
    <row r="15" customFormat="false" ht="15" hidden="false" customHeight="true" outlineLevel="0" collapsed="false">
      <c r="A15" s="3" t="s">
        <v>111</v>
      </c>
      <c r="B15" s="3" t="s">
        <v>112</v>
      </c>
      <c r="C15" s="4" t="s">
        <v>112</v>
      </c>
      <c r="D15" s="3" t="s">
        <v>78</v>
      </c>
      <c r="E15" s="8"/>
      <c r="F15" s="4"/>
      <c r="G15" s="9"/>
      <c r="H15" s="8" t="n">
        <v>1</v>
      </c>
      <c r="I15" s="3" t="n">
        <f aca="false">COUNTIFS(Master!$I$2:$I$2000,B15,Master!$V$2:$V$2000,"&lt;&gt;Done",Master!$V$2:$V$2000,"&lt;&gt;Cancelled",Master!$C$2:$C$2000,"&lt;&gt;")</f>
        <v>0</v>
      </c>
      <c r="J15" s="3" t="n">
        <f aca="false">SUMPRODUCT(ISNUMBER(SEARCH(B15,Master!$J$2:$J$2000))*(Master!$V$2:$V$2000&lt;&gt;"Done")*(Master!$V$2:$V$2000&lt;&gt;"Cancelled")*(Master!$C$2:$C$2000&lt;&gt;""))</f>
        <v>0</v>
      </c>
      <c r="K15" s="3" t="n">
        <f aca="true">COUNTIFS(Master!$H$2:$H$2000,B15,Master!$V$2:$V$2000,"&lt;&gt;Done",Master!$V$2:$V$2000,"&lt;&gt;Cancelled",Master!$P$2:$P$2000,"&lt;"&amp;TODAY())</f>
        <v>0</v>
      </c>
      <c r="L15" s="10" t="n">
        <f aca="false">SUMPRODUCT((Master!$I$2:$I$2000=B15)*(Master!$V$2:$V$2000&lt;&gt;"Done")*(Master!$V$2:$V$2000&lt;&gt;"Cancelled")*Master!$T$2:$T$2000)+Config!$B$5*SUMPRODUCT(ISNUMBER(SEARCH(B15,Master!$J$2:$J$2000))*(Master!$V$2:$V$2000&lt;&gt;"Done")*(Master!$V$2:$V$2000&lt;&gt;"Cancelled")*Master!$T$2:$T$2000)</f>
        <v>0</v>
      </c>
      <c r="M15" s="10" t="n">
        <f aca="false">IF(OR(H15="",H15=0),"",L15/H15)</f>
        <v>0</v>
      </c>
      <c r="N15" s="3" t="n">
        <f aca="false">COUNTIF(Catalog!$F$2:$F$200,B15)</f>
        <v>0</v>
      </c>
      <c r="O15" s="8"/>
    </row>
    <row r="16" customFormat="false" ht="15" hidden="false" customHeight="true" outlineLevel="0" collapsed="false">
      <c r="A16" s="3" t="s">
        <v>113</v>
      </c>
      <c r="B16" s="3" t="s">
        <v>114</v>
      </c>
      <c r="C16" s="4" t="s">
        <v>114</v>
      </c>
      <c r="D16" s="3" t="s">
        <v>87</v>
      </c>
      <c r="E16" s="8"/>
      <c r="F16" s="4"/>
      <c r="G16" s="9"/>
      <c r="H16" s="8" t="n">
        <v>1</v>
      </c>
      <c r="I16" s="3" t="n">
        <f aca="false">COUNTIFS(Master!$I$2:$I$2000,B16,Master!$V$2:$V$2000,"&lt;&gt;Done",Master!$V$2:$V$2000,"&lt;&gt;Cancelled",Master!$C$2:$C$2000,"&lt;&gt;")</f>
        <v>0</v>
      </c>
      <c r="J16" s="3" t="n">
        <f aca="false">SUMPRODUCT(ISNUMBER(SEARCH(B16,Master!$J$2:$J$2000))*(Master!$V$2:$V$2000&lt;&gt;"Done")*(Master!$V$2:$V$2000&lt;&gt;"Cancelled")*(Master!$C$2:$C$2000&lt;&gt;""))</f>
        <v>0</v>
      </c>
      <c r="K16" s="3" t="n">
        <f aca="true">COUNTIFS(Master!$H$2:$H$2000,B16,Master!$V$2:$V$2000,"&lt;&gt;Done",Master!$V$2:$V$2000,"&lt;&gt;Cancelled",Master!$P$2:$P$2000,"&lt;"&amp;TODAY())</f>
        <v>0</v>
      </c>
      <c r="L16" s="10" t="n">
        <f aca="false">SUMPRODUCT((Master!$I$2:$I$2000=B16)*(Master!$V$2:$V$2000&lt;&gt;"Done")*(Master!$V$2:$V$2000&lt;&gt;"Cancelled")*Master!$T$2:$T$2000)+Config!$B$5*SUMPRODUCT(ISNUMBER(SEARCH(B16,Master!$J$2:$J$2000))*(Master!$V$2:$V$2000&lt;&gt;"Done")*(Master!$V$2:$V$2000&lt;&gt;"Cancelled")*Master!$T$2:$T$2000)</f>
        <v>0</v>
      </c>
      <c r="M16" s="10" t="n">
        <f aca="false">IF(OR(H16="",H16=0),"",L16/H16)</f>
        <v>0</v>
      </c>
      <c r="N16" s="3" t="n">
        <f aca="false">COUNTIF(Catalog!$F$2:$F$200,B16)</f>
        <v>0</v>
      </c>
      <c r="O16" s="8"/>
    </row>
    <row r="17" customFormat="false" ht="15" hidden="false" customHeight="true" outlineLevel="0" collapsed="false">
      <c r="A17" s="3" t="s">
        <v>115</v>
      </c>
      <c r="B17" s="3" t="s">
        <v>116</v>
      </c>
      <c r="C17" s="4" t="s">
        <v>116</v>
      </c>
      <c r="D17" s="3" t="s">
        <v>90</v>
      </c>
      <c r="E17" s="8"/>
      <c r="F17" s="4"/>
      <c r="G17" s="9"/>
      <c r="H17" s="8" t="n">
        <v>1</v>
      </c>
      <c r="I17" s="3" t="n">
        <f aca="false">COUNTIFS(Master!$I$2:$I$2000,B17,Master!$V$2:$V$2000,"&lt;&gt;Done",Master!$V$2:$V$2000,"&lt;&gt;Cancelled",Master!$C$2:$C$2000,"&lt;&gt;")</f>
        <v>0</v>
      </c>
      <c r="J17" s="3" t="n">
        <f aca="false">SUMPRODUCT(ISNUMBER(SEARCH(B17,Master!$J$2:$J$2000))*(Master!$V$2:$V$2000&lt;&gt;"Done")*(Master!$V$2:$V$2000&lt;&gt;"Cancelled")*(Master!$C$2:$C$2000&lt;&gt;""))</f>
        <v>0</v>
      </c>
      <c r="K17" s="3" t="n">
        <f aca="true">COUNTIFS(Master!$H$2:$H$2000,B17,Master!$V$2:$V$2000,"&lt;&gt;Done",Master!$V$2:$V$2000,"&lt;&gt;Cancelled",Master!$P$2:$P$2000,"&lt;"&amp;TODAY())</f>
        <v>0</v>
      </c>
      <c r="L17" s="10" t="n">
        <f aca="false">SUMPRODUCT((Master!$I$2:$I$2000=B17)*(Master!$V$2:$V$2000&lt;&gt;"Done")*(Master!$V$2:$V$2000&lt;&gt;"Cancelled")*Master!$T$2:$T$2000)+Config!$B$5*SUMPRODUCT(ISNUMBER(SEARCH(B17,Master!$J$2:$J$2000))*(Master!$V$2:$V$2000&lt;&gt;"Done")*(Master!$V$2:$V$2000&lt;&gt;"Cancelled")*Master!$T$2:$T$2000)</f>
        <v>0</v>
      </c>
      <c r="M17" s="10" t="n">
        <f aca="false">IF(OR(H17="",H17=0),"",L17/H17)</f>
        <v>0</v>
      </c>
      <c r="N17" s="3" t="n">
        <f aca="false">COUNTIF(Catalog!$F$2:$F$200,B17)</f>
        <v>0</v>
      </c>
      <c r="O17" s="8"/>
    </row>
    <row r="18" customFormat="false" ht="15" hidden="false" customHeight="true" outlineLevel="0" collapsed="false">
      <c r="A18" s="3" t="s">
        <v>117</v>
      </c>
      <c r="B18" s="3" t="s">
        <v>118</v>
      </c>
      <c r="C18" s="4" t="s">
        <v>119</v>
      </c>
      <c r="D18" s="3"/>
      <c r="E18" s="8"/>
      <c r="F18" s="4"/>
      <c r="G18" s="9"/>
      <c r="H18" s="8" t="n">
        <v>1</v>
      </c>
      <c r="I18" s="3" t="n">
        <f aca="false">COUNTIFS(Master!$I$2:$I$2000,B18,Master!$V$2:$V$2000,"&lt;&gt;Done",Master!$V$2:$V$2000,"&lt;&gt;Cancelled",Master!$C$2:$C$2000,"&lt;&gt;")</f>
        <v>0</v>
      </c>
      <c r="J18" s="3" t="n">
        <f aca="false">SUMPRODUCT(ISNUMBER(SEARCH(B18,Master!$J$2:$J$2000))*(Master!$V$2:$V$2000&lt;&gt;"Done")*(Master!$V$2:$V$2000&lt;&gt;"Cancelled")*(Master!$C$2:$C$2000&lt;&gt;""))</f>
        <v>0</v>
      </c>
      <c r="K18" s="3" t="n">
        <f aca="true">COUNTIFS(Master!$H$2:$H$2000,B18,Master!$V$2:$V$2000,"&lt;&gt;Done",Master!$V$2:$V$2000,"&lt;&gt;Cancelled",Master!$P$2:$P$2000,"&lt;"&amp;TODAY())</f>
        <v>0</v>
      </c>
      <c r="L18" s="10" t="n">
        <f aca="false">SUMPRODUCT((Master!$I$2:$I$2000=B18)*(Master!$V$2:$V$2000&lt;&gt;"Done")*(Master!$V$2:$V$2000&lt;&gt;"Cancelled")*Master!$T$2:$T$2000)+Config!$B$5*SUMPRODUCT(ISNUMBER(SEARCH(B18,Master!$J$2:$J$2000))*(Master!$V$2:$V$2000&lt;&gt;"Done")*(Master!$V$2:$V$2000&lt;&gt;"Cancelled")*Master!$T$2:$T$2000)</f>
        <v>0</v>
      </c>
      <c r="M18" s="10" t="n">
        <f aca="false">IF(OR(H18="",H18=0),"",L18/H18)</f>
        <v>0</v>
      </c>
      <c r="N18" s="3" t="n">
        <f aca="false">COUNTIF(Catalog!$F$2:$F$200,B18)</f>
        <v>0</v>
      </c>
      <c r="O18" s="8"/>
    </row>
    <row r="19" customFormat="false" ht="15" hidden="false" customHeight="true" outlineLevel="0" collapsed="false">
      <c r="A19" s="3" t="s">
        <v>120</v>
      </c>
      <c r="B19" s="3" t="s">
        <v>121</v>
      </c>
      <c r="C19" s="4" t="s">
        <v>121</v>
      </c>
      <c r="D19" s="3"/>
      <c r="E19" s="8"/>
      <c r="F19" s="4" t="s">
        <v>108</v>
      </c>
      <c r="G19" s="9"/>
      <c r="H19" s="8" t="n">
        <v>1</v>
      </c>
      <c r="I19" s="3" t="n">
        <f aca="false">COUNTIFS(Master!$I$2:$I$2000,B19,Master!$V$2:$V$2000,"&lt;&gt;Done",Master!$V$2:$V$2000,"&lt;&gt;Cancelled",Master!$C$2:$C$2000,"&lt;&gt;")</f>
        <v>0</v>
      </c>
      <c r="J19" s="3" t="n">
        <f aca="false">SUMPRODUCT(ISNUMBER(SEARCH(B19,Master!$J$2:$J$2000))*(Master!$V$2:$V$2000&lt;&gt;"Done")*(Master!$V$2:$V$2000&lt;&gt;"Cancelled")*(Master!$C$2:$C$2000&lt;&gt;""))</f>
        <v>0</v>
      </c>
      <c r="K19" s="3" t="n">
        <f aca="true">COUNTIFS(Master!$H$2:$H$2000,B19,Master!$V$2:$V$2000,"&lt;&gt;Done",Master!$V$2:$V$2000,"&lt;&gt;Cancelled",Master!$P$2:$P$2000,"&lt;"&amp;TODAY())</f>
        <v>0</v>
      </c>
      <c r="L19" s="10" t="n">
        <f aca="false">SUMPRODUCT((Master!$I$2:$I$2000=B19)*(Master!$V$2:$V$2000&lt;&gt;"Done")*(Master!$V$2:$V$2000&lt;&gt;"Cancelled")*Master!$T$2:$T$2000)+Config!$B$5*SUMPRODUCT(ISNUMBER(SEARCH(B19,Master!$J$2:$J$2000))*(Master!$V$2:$V$2000&lt;&gt;"Done")*(Master!$V$2:$V$2000&lt;&gt;"Cancelled")*Master!$T$2:$T$2000)</f>
        <v>0</v>
      </c>
      <c r="M19" s="10" t="n">
        <f aca="false">IF(OR(H19="",H19=0),"",L19/H19)</f>
        <v>0</v>
      </c>
      <c r="N19" s="3" t="n">
        <f aca="false">COUNTIF(Catalog!$F$2:$F$200,B19)</f>
        <v>0</v>
      </c>
      <c r="O19" s="8"/>
    </row>
  </sheetData>
  <dataValidations count="1">
    <dataValidation allowBlank="true" errorStyle="stop" operator="between" showDropDown="false" showErrorMessage="false" showInputMessage="false" sqref="E2:E200" type="list">
      <formula1>"Staff,Intern,Manager"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4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22"/>
    <col collapsed="false" customWidth="true" hidden="false" outlineLevel="0" max="10" min="10" style="1" width="30"/>
    <col collapsed="false" customWidth="true" hidden="false" outlineLevel="0" max="11" min="11" style="1" width="9"/>
    <col collapsed="false" customWidth="true" hidden="false" outlineLevel="0" max="12" min="12" style="1" width="34"/>
    <col collapsed="false" customWidth="true" hidden="false" outlineLevel="0" max="13" min="13" style="1" width="12"/>
    <col collapsed="false" customWidth="true" hidden="false" outlineLevel="0" max="14" min="14" style="1" width="44"/>
  </cols>
  <sheetData>
    <row r="1" customFormat="false" ht="31.5" hidden="false" customHeight="true" outlineLevel="0" collapsed="false">
      <c r="A1" s="2" t="s">
        <v>3</v>
      </c>
      <c r="B1" s="2" t="s">
        <v>122</v>
      </c>
      <c r="C1" s="2" t="s">
        <v>5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130</v>
      </c>
      <c r="L1" s="2" t="s">
        <v>25</v>
      </c>
      <c r="M1" s="2" t="s">
        <v>131</v>
      </c>
      <c r="N1" s="2" t="s">
        <v>132</v>
      </c>
    </row>
    <row r="2" customFormat="false" ht="23.25" hidden="false" customHeight="true" outlineLevel="0" collapsed="false">
      <c r="A2" s="3" t="s">
        <v>133</v>
      </c>
      <c r="B2" s="4" t="s">
        <v>134</v>
      </c>
      <c r="C2" s="3" t="s">
        <v>34</v>
      </c>
      <c r="D2" s="3" t="s">
        <v>135</v>
      </c>
      <c r="E2" s="8" t="s">
        <v>136</v>
      </c>
      <c r="F2" s="8" t="s">
        <v>73</v>
      </c>
      <c r="G2" s="8"/>
      <c r="H2" s="8" t="n">
        <v>22</v>
      </c>
      <c r="I2" s="4" t="s">
        <v>137</v>
      </c>
      <c r="J2" s="4" t="s">
        <v>138</v>
      </c>
      <c r="K2" s="3" t="n">
        <f aca="false">COUNTIF(Master!$D$2:$D$2000,A2)</f>
        <v>0</v>
      </c>
      <c r="L2" s="4" t="s">
        <v>139</v>
      </c>
      <c r="M2" s="8"/>
      <c r="N2" s="11" t="s">
        <v>140</v>
      </c>
    </row>
    <row r="3" customFormat="false" ht="15" hidden="false" customHeight="true" outlineLevel="0" collapsed="false">
      <c r="A3" s="3" t="s">
        <v>141</v>
      </c>
      <c r="B3" s="4" t="s">
        <v>142</v>
      </c>
      <c r="C3" s="3" t="s">
        <v>34</v>
      </c>
      <c r="D3" s="3" t="s">
        <v>33</v>
      </c>
      <c r="E3" s="8" t="s">
        <v>143</v>
      </c>
      <c r="F3" s="8" t="s">
        <v>73</v>
      </c>
      <c r="G3" s="8" t="s">
        <v>97</v>
      </c>
      <c r="H3" s="8" t="n">
        <v>23</v>
      </c>
      <c r="I3" s="4" t="s">
        <v>144</v>
      </c>
      <c r="J3" s="4" t="s">
        <v>145</v>
      </c>
      <c r="K3" s="3" t="n">
        <f aca="false">COUNTIF(Master!$D$2:$D$2000,A3)</f>
        <v>0</v>
      </c>
      <c r="L3" s="4"/>
      <c r="M3" s="8"/>
      <c r="N3" s="11" t="s">
        <v>146</v>
      </c>
    </row>
    <row r="4" customFormat="false" ht="34.5" hidden="false" customHeight="true" outlineLevel="0" collapsed="false">
      <c r="A4" s="3" t="s">
        <v>147</v>
      </c>
      <c r="B4" s="4" t="s">
        <v>148</v>
      </c>
      <c r="C4" s="3" t="s">
        <v>34</v>
      </c>
      <c r="D4" s="3" t="s">
        <v>33</v>
      </c>
      <c r="E4" s="8" t="s">
        <v>143</v>
      </c>
      <c r="F4" s="8" t="s">
        <v>73</v>
      </c>
      <c r="G4" s="8" t="s">
        <v>97</v>
      </c>
      <c r="H4" s="8" t="n">
        <v>16</v>
      </c>
      <c r="I4" s="4" t="s">
        <v>149</v>
      </c>
      <c r="J4" s="4" t="s">
        <v>150</v>
      </c>
      <c r="K4" s="3" t="n">
        <f aca="false">COUNTIF(Master!$D$2:$D$2000,A4)</f>
        <v>0</v>
      </c>
      <c r="L4" s="4" t="s">
        <v>151</v>
      </c>
      <c r="M4" s="8"/>
      <c r="N4" s="11" t="s">
        <v>152</v>
      </c>
    </row>
    <row r="5" customFormat="false" ht="15" hidden="false" customHeight="true" outlineLevel="0" collapsed="false">
      <c r="A5" s="3" t="s">
        <v>153</v>
      </c>
      <c r="B5" s="4" t="s">
        <v>154</v>
      </c>
      <c r="C5" s="3" t="s">
        <v>34</v>
      </c>
      <c r="D5" s="3" t="s">
        <v>33</v>
      </c>
      <c r="E5" s="8" t="s">
        <v>155</v>
      </c>
      <c r="F5" s="8" t="s">
        <v>73</v>
      </c>
      <c r="G5" s="8"/>
      <c r="H5" s="8" t="n">
        <v>22</v>
      </c>
      <c r="I5" s="4" t="s">
        <v>156</v>
      </c>
      <c r="J5" s="4" t="s">
        <v>157</v>
      </c>
      <c r="K5" s="3" t="n">
        <f aca="false">COUNTIF(Master!$D$2:$D$2000,A5)</f>
        <v>0</v>
      </c>
      <c r="L5" s="4"/>
      <c r="M5" s="8"/>
      <c r="N5" s="11" t="s">
        <v>158</v>
      </c>
    </row>
    <row r="6" customFormat="false" ht="15" hidden="false" customHeight="true" outlineLevel="0" collapsed="false">
      <c r="A6" s="3" t="s">
        <v>159</v>
      </c>
      <c r="B6" s="4" t="s">
        <v>160</v>
      </c>
      <c r="C6" s="3" t="s">
        <v>34</v>
      </c>
      <c r="D6" s="3" t="s">
        <v>33</v>
      </c>
      <c r="E6" s="8" t="s">
        <v>143</v>
      </c>
      <c r="F6" s="8" t="s">
        <v>73</v>
      </c>
      <c r="G6" s="8"/>
      <c r="H6" s="8" t="n">
        <v>16</v>
      </c>
      <c r="I6" s="4" t="s">
        <v>161</v>
      </c>
      <c r="J6" s="4" t="s">
        <v>162</v>
      </c>
      <c r="K6" s="3" t="n">
        <f aca="false">COUNTIF(Master!$D$2:$D$2000,A6)</f>
        <v>0</v>
      </c>
      <c r="L6" s="4" t="s">
        <v>163</v>
      </c>
      <c r="M6" s="8"/>
      <c r="N6" s="11" t="s">
        <v>164</v>
      </c>
    </row>
    <row r="7" customFormat="false" ht="34.5" hidden="false" customHeight="true" outlineLevel="0" collapsed="false">
      <c r="A7" s="3" t="s">
        <v>32</v>
      </c>
      <c r="B7" s="4" t="s">
        <v>165</v>
      </c>
      <c r="C7" s="3" t="s">
        <v>78</v>
      </c>
      <c r="D7" s="3" t="s">
        <v>33</v>
      </c>
      <c r="E7" s="8" t="s">
        <v>136</v>
      </c>
      <c r="F7" s="8" t="s">
        <v>35</v>
      </c>
      <c r="G7" s="8"/>
      <c r="H7" s="8" t="n">
        <v>15</v>
      </c>
      <c r="I7" s="4" t="s">
        <v>161</v>
      </c>
      <c r="J7" s="4" t="s">
        <v>39</v>
      </c>
      <c r="K7" s="3" t="n">
        <f aca="false">COUNTIF(Master!$D$2:$D$2000,A7)</f>
        <v>1</v>
      </c>
      <c r="L7" s="4" t="s">
        <v>166</v>
      </c>
      <c r="M7" s="8"/>
      <c r="N7" s="11" t="s">
        <v>167</v>
      </c>
    </row>
    <row r="8" customFormat="false" ht="15" hidden="false" customHeight="true" outlineLevel="0" collapsed="false">
      <c r="A8" s="3" t="s">
        <v>168</v>
      </c>
      <c r="B8" s="4" t="s">
        <v>169</v>
      </c>
      <c r="C8" s="3" t="s">
        <v>78</v>
      </c>
      <c r="D8" s="3" t="s">
        <v>33</v>
      </c>
      <c r="E8" s="8" t="s">
        <v>143</v>
      </c>
      <c r="F8" s="8" t="s">
        <v>35</v>
      </c>
      <c r="G8" s="8"/>
      <c r="H8" s="8" t="n">
        <v>20</v>
      </c>
      <c r="I8" s="4" t="s">
        <v>149</v>
      </c>
      <c r="J8" s="4" t="s">
        <v>170</v>
      </c>
      <c r="K8" s="3" t="n">
        <f aca="false">COUNTIF(Master!$D$2:$D$2000,A8)</f>
        <v>0</v>
      </c>
      <c r="L8" s="4"/>
      <c r="M8" s="8"/>
      <c r="N8" s="11" t="s">
        <v>171</v>
      </c>
    </row>
    <row r="9" customFormat="false" ht="15" hidden="false" customHeight="true" outlineLevel="0" collapsed="false">
      <c r="A9" s="3" t="s">
        <v>172</v>
      </c>
      <c r="B9" s="4" t="s">
        <v>173</v>
      </c>
      <c r="C9" s="3" t="s">
        <v>78</v>
      </c>
      <c r="D9" s="3" t="s">
        <v>33</v>
      </c>
      <c r="E9" s="8" t="s">
        <v>143</v>
      </c>
      <c r="F9" s="8" t="s">
        <v>35</v>
      </c>
      <c r="G9" s="8"/>
      <c r="H9" s="8" t="n">
        <v>16</v>
      </c>
      <c r="I9" s="4" t="s">
        <v>174</v>
      </c>
      <c r="J9" s="4" t="s">
        <v>175</v>
      </c>
      <c r="K9" s="3" t="n">
        <f aca="false">COUNTIF(Master!$D$2:$D$2000,A9)</f>
        <v>0</v>
      </c>
      <c r="L9" s="4"/>
      <c r="M9" s="8"/>
      <c r="N9" s="11" t="s">
        <v>176</v>
      </c>
    </row>
    <row r="10" customFormat="false" ht="15" hidden="false" customHeight="true" outlineLevel="0" collapsed="false">
      <c r="A10" s="3" t="s">
        <v>177</v>
      </c>
      <c r="B10" s="4" t="s">
        <v>178</v>
      </c>
      <c r="C10" s="3" t="s">
        <v>78</v>
      </c>
      <c r="D10" s="3" t="s">
        <v>33</v>
      </c>
      <c r="E10" s="8" t="s">
        <v>155</v>
      </c>
      <c r="F10" s="8" t="s">
        <v>35</v>
      </c>
      <c r="G10" s="8" t="s">
        <v>81</v>
      </c>
      <c r="H10" s="8" t="n">
        <v>23</v>
      </c>
      <c r="I10" s="4" t="s">
        <v>179</v>
      </c>
      <c r="J10" s="4" t="s">
        <v>180</v>
      </c>
      <c r="K10" s="3" t="n">
        <f aca="false">COUNTIF(Master!$D$2:$D$2000,A10)</f>
        <v>0</v>
      </c>
      <c r="L10" s="4" t="s">
        <v>181</v>
      </c>
      <c r="M10" s="8"/>
      <c r="N10" s="11" t="s">
        <v>182</v>
      </c>
    </row>
    <row r="11" customFormat="false" ht="23.25" hidden="false" customHeight="true" outlineLevel="0" collapsed="false">
      <c r="A11" s="3" t="s">
        <v>183</v>
      </c>
      <c r="B11" s="4" t="s">
        <v>184</v>
      </c>
      <c r="C11" s="3" t="s">
        <v>78</v>
      </c>
      <c r="D11" s="3" t="s">
        <v>33</v>
      </c>
      <c r="E11" s="8" t="s">
        <v>143</v>
      </c>
      <c r="F11" s="8" t="s">
        <v>35</v>
      </c>
      <c r="G11" s="8" t="s">
        <v>73</v>
      </c>
      <c r="H11" s="8" t="n">
        <v>13</v>
      </c>
      <c r="I11" s="4" t="s">
        <v>161</v>
      </c>
      <c r="J11" s="4" t="s">
        <v>185</v>
      </c>
      <c r="K11" s="3" t="n">
        <f aca="false">COUNTIF(Master!$D$2:$D$2000,A11)</f>
        <v>0</v>
      </c>
      <c r="L11" s="4" t="s">
        <v>186</v>
      </c>
      <c r="M11" s="8"/>
      <c r="N11" s="11" t="s">
        <v>187</v>
      </c>
    </row>
    <row r="12" customFormat="false" ht="23.25" hidden="false" customHeight="true" outlineLevel="0" collapsed="false">
      <c r="A12" s="3" t="s">
        <v>188</v>
      </c>
      <c r="B12" s="4" t="s">
        <v>189</v>
      </c>
      <c r="C12" s="3" t="s">
        <v>78</v>
      </c>
      <c r="D12" s="3" t="s">
        <v>190</v>
      </c>
      <c r="E12" s="8" t="s">
        <v>143</v>
      </c>
      <c r="F12" s="8" t="s">
        <v>35</v>
      </c>
      <c r="G12" s="8" t="s">
        <v>112</v>
      </c>
      <c r="H12" s="8" t="n">
        <v>15</v>
      </c>
      <c r="I12" s="4" t="s">
        <v>191</v>
      </c>
      <c r="J12" s="4" t="s">
        <v>192</v>
      </c>
      <c r="K12" s="3" t="n">
        <f aca="false">COUNTIF(Master!$D$2:$D$2000,A12)</f>
        <v>0</v>
      </c>
      <c r="L12" s="4" t="s">
        <v>186</v>
      </c>
      <c r="M12" s="8"/>
      <c r="N12" s="11" t="s">
        <v>193</v>
      </c>
    </row>
    <row r="13" customFormat="false" ht="15" hidden="false" customHeight="true" outlineLevel="0" collapsed="false">
      <c r="A13" s="3" t="s">
        <v>194</v>
      </c>
      <c r="B13" s="4" t="s">
        <v>195</v>
      </c>
      <c r="C13" s="3" t="s">
        <v>87</v>
      </c>
      <c r="D13" s="3" t="s">
        <v>33</v>
      </c>
      <c r="E13" s="8" t="s">
        <v>143</v>
      </c>
      <c r="F13" s="8" t="s">
        <v>46</v>
      </c>
      <c r="G13" s="8" t="s">
        <v>97</v>
      </c>
      <c r="H13" s="8" t="n">
        <v>17</v>
      </c>
      <c r="I13" s="4" t="s">
        <v>144</v>
      </c>
      <c r="J13" s="4" t="s">
        <v>196</v>
      </c>
      <c r="K13" s="3" t="n">
        <f aca="false">COUNTIF(Master!$D$2:$D$2000,A13)</f>
        <v>0</v>
      </c>
      <c r="L13" s="4"/>
      <c r="M13" s="8"/>
      <c r="N13" s="11" t="s">
        <v>197</v>
      </c>
    </row>
    <row r="14" customFormat="false" ht="15" hidden="false" customHeight="true" outlineLevel="0" collapsed="false">
      <c r="A14" s="3" t="s">
        <v>198</v>
      </c>
      <c r="B14" s="4" t="s">
        <v>199</v>
      </c>
      <c r="C14" s="3" t="s">
        <v>87</v>
      </c>
      <c r="D14" s="3" t="s">
        <v>33</v>
      </c>
      <c r="E14" s="8" t="s">
        <v>143</v>
      </c>
      <c r="F14" s="8" t="s">
        <v>46</v>
      </c>
      <c r="G14" s="8" t="s">
        <v>76</v>
      </c>
      <c r="H14" s="8" t="n">
        <v>29</v>
      </c>
      <c r="I14" s="4" t="s">
        <v>161</v>
      </c>
      <c r="J14" s="4" t="s">
        <v>200</v>
      </c>
      <c r="K14" s="3" t="n">
        <f aca="false">COUNTIF(Master!$D$2:$D$2000,A14)</f>
        <v>0</v>
      </c>
      <c r="L14" s="4"/>
      <c r="M14" s="8"/>
      <c r="N14" s="11" t="s">
        <v>201</v>
      </c>
    </row>
    <row r="15" customFormat="false" ht="15" hidden="false" customHeight="true" outlineLevel="0" collapsed="false">
      <c r="A15" s="3" t="s">
        <v>202</v>
      </c>
      <c r="B15" s="4" t="s">
        <v>203</v>
      </c>
      <c r="C15" s="3" t="s">
        <v>34</v>
      </c>
      <c r="D15" s="3" t="s">
        <v>33</v>
      </c>
      <c r="E15" s="8" t="s">
        <v>204</v>
      </c>
      <c r="F15" s="8" t="s">
        <v>73</v>
      </c>
      <c r="G15" s="8" t="s">
        <v>89</v>
      </c>
      <c r="H15" s="8" t="n">
        <v>15</v>
      </c>
      <c r="I15" s="4" t="s">
        <v>191</v>
      </c>
      <c r="J15" s="4" t="s">
        <v>205</v>
      </c>
      <c r="K15" s="3" t="n">
        <f aca="false">COUNTIF(Master!$D$2:$D$2000,A15)</f>
        <v>0</v>
      </c>
      <c r="L15" s="4"/>
      <c r="M15" s="8"/>
      <c r="N15" s="11" t="s">
        <v>206</v>
      </c>
    </row>
    <row r="16" customFormat="false" ht="34.5" hidden="false" customHeight="true" outlineLevel="0" collapsed="false">
      <c r="A16" s="3" t="s">
        <v>207</v>
      </c>
      <c r="B16" s="4" t="s">
        <v>208</v>
      </c>
      <c r="C16" s="3" t="s">
        <v>34</v>
      </c>
      <c r="D16" s="3" t="s">
        <v>33</v>
      </c>
      <c r="E16" s="8" t="s">
        <v>204</v>
      </c>
      <c r="F16" s="8" t="s">
        <v>73</v>
      </c>
      <c r="G16" s="8"/>
      <c r="H16" s="8" t="n">
        <v>18</v>
      </c>
      <c r="I16" s="4" t="s">
        <v>209</v>
      </c>
      <c r="J16" s="4" t="s">
        <v>150</v>
      </c>
      <c r="K16" s="3" t="n">
        <f aca="false">COUNTIF(Master!$D$2:$D$2000,A16)</f>
        <v>0</v>
      </c>
      <c r="L16" s="4"/>
      <c r="M16" s="8"/>
      <c r="N16" s="11" t="s">
        <v>210</v>
      </c>
    </row>
    <row r="17" customFormat="false" ht="15" hidden="false" customHeight="true" outlineLevel="0" collapsed="false">
      <c r="A17" s="3" t="s">
        <v>211</v>
      </c>
      <c r="B17" s="4" t="s">
        <v>212</v>
      </c>
      <c r="C17" s="3" t="s">
        <v>87</v>
      </c>
      <c r="D17" s="3" t="s">
        <v>33</v>
      </c>
      <c r="E17" s="8" t="s">
        <v>143</v>
      </c>
      <c r="F17" s="8" t="s">
        <v>46</v>
      </c>
      <c r="G17" s="8"/>
      <c r="H17" s="8" t="n">
        <v>23</v>
      </c>
      <c r="I17" s="4" t="s">
        <v>213</v>
      </c>
      <c r="J17" s="4" t="s">
        <v>192</v>
      </c>
      <c r="K17" s="3" t="n">
        <f aca="false">COUNTIF(Master!$D$2:$D$2000,A17)</f>
        <v>0</v>
      </c>
      <c r="L17" s="4"/>
      <c r="M17" s="8"/>
      <c r="N17" s="11" t="s">
        <v>214</v>
      </c>
    </row>
    <row r="18" customFormat="false" ht="23.25" hidden="false" customHeight="true" outlineLevel="0" collapsed="false">
      <c r="A18" s="3" t="s">
        <v>215</v>
      </c>
      <c r="B18" s="4" t="s">
        <v>216</v>
      </c>
      <c r="C18" s="3" t="s">
        <v>87</v>
      </c>
      <c r="D18" s="3" t="s">
        <v>33</v>
      </c>
      <c r="E18" s="8" t="s">
        <v>204</v>
      </c>
      <c r="F18" s="8" t="s">
        <v>81</v>
      </c>
      <c r="G18" s="8" t="s">
        <v>97</v>
      </c>
      <c r="H18" s="8" t="n">
        <v>24</v>
      </c>
      <c r="I18" s="4" t="s">
        <v>217</v>
      </c>
      <c r="J18" s="4" t="s">
        <v>218</v>
      </c>
      <c r="K18" s="3" t="n">
        <f aca="false">COUNTIF(Master!$D$2:$D$2000,A18)</f>
        <v>0</v>
      </c>
      <c r="L18" s="4"/>
      <c r="M18" s="8"/>
      <c r="N18" s="11" t="s">
        <v>219</v>
      </c>
    </row>
    <row r="19" customFormat="false" ht="23.25" hidden="false" customHeight="true" outlineLevel="0" collapsed="false">
      <c r="A19" s="3" t="s">
        <v>220</v>
      </c>
      <c r="B19" s="4" t="s">
        <v>221</v>
      </c>
      <c r="C19" s="3" t="s">
        <v>87</v>
      </c>
      <c r="D19" s="3" t="s">
        <v>33</v>
      </c>
      <c r="E19" s="8" t="s">
        <v>204</v>
      </c>
      <c r="F19" s="8" t="s">
        <v>73</v>
      </c>
      <c r="G19" s="8" t="s">
        <v>81</v>
      </c>
      <c r="H19" s="8" t="n">
        <v>31</v>
      </c>
      <c r="I19" s="4" t="s">
        <v>191</v>
      </c>
      <c r="J19" s="4" t="s">
        <v>218</v>
      </c>
      <c r="K19" s="3" t="n">
        <f aca="false">COUNTIF(Master!$D$2:$D$2000,A19)</f>
        <v>0</v>
      </c>
      <c r="L19" s="4"/>
      <c r="M19" s="8"/>
      <c r="N19" s="11" t="s">
        <v>222</v>
      </c>
    </row>
    <row r="20" customFormat="false" ht="15" hidden="false" customHeight="true" outlineLevel="0" collapsed="false">
      <c r="A20" s="3" t="s">
        <v>223</v>
      </c>
      <c r="B20" s="4" t="s">
        <v>224</v>
      </c>
      <c r="C20" s="3" t="s">
        <v>87</v>
      </c>
      <c r="D20" s="3" t="s">
        <v>33</v>
      </c>
      <c r="E20" s="8" t="s">
        <v>204</v>
      </c>
      <c r="F20" s="8" t="s">
        <v>35</v>
      </c>
      <c r="G20" s="8" t="s">
        <v>73</v>
      </c>
      <c r="H20" s="8" t="n">
        <v>23</v>
      </c>
      <c r="I20" s="4" t="s">
        <v>209</v>
      </c>
      <c r="J20" s="4" t="s">
        <v>225</v>
      </c>
      <c r="K20" s="3" t="n">
        <f aca="false">COUNTIF(Master!$D$2:$D$2000,A20)</f>
        <v>0</v>
      </c>
      <c r="L20" s="4"/>
      <c r="M20" s="8"/>
      <c r="N20" s="11" t="s">
        <v>226</v>
      </c>
    </row>
    <row r="21" customFormat="false" ht="15" hidden="false" customHeight="true" outlineLevel="0" collapsed="false">
      <c r="A21" s="3" t="s">
        <v>227</v>
      </c>
      <c r="B21" s="4" t="s">
        <v>228</v>
      </c>
      <c r="C21" s="3" t="s">
        <v>87</v>
      </c>
      <c r="D21" s="3" t="s">
        <v>33</v>
      </c>
      <c r="E21" s="8" t="s">
        <v>204</v>
      </c>
      <c r="F21" s="8" t="s">
        <v>35</v>
      </c>
      <c r="G21" s="8" t="s">
        <v>97</v>
      </c>
      <c r="H21" s="8" t="n">
        <v>22</v>
      </c>
      <c r="I21" s="4" t="s">
        <v>229</v>
      </c>
      <c r="J21" s="4" t="s">
        <v>192</v>
      </c>
      <c r="K21" s="3" t="n">
        <f aca="false">COUNTIF(Master!$D$2:$D$2000,A21)</f>
        <v>0</v>
      </c>
      <c r="L21" s="4"/>
      <c r="M21" s="8"/>
      <c r="N21" s="11" t="s">
        <v>230</v>
      </c>
    </row>
    <row r="22" customFormat="false" ht="34.5" hidden="false" customHeight="true" outlineLevel="0" collapsed="false">
      <c r="A22" s="3" t="s">
        <v>231</v>
      </c>
      <c r="B22" s="4" t="s">
        <v>232</v>
      </c>
      <c r="C22" s="3" t="s">
        <v>34</v>
      </c>
      <c r="D22" s="3" t="s">
        <v>33</v>
      </c>
      <c r="E22" s="8" t="s">
        <v>143</v>
      </c>
      <c r="F22" s="8" t="s">
        <v>73</v>
      </c>
      <c r="G22" s="8" t="s">
        <v>97</v>
      </c>
      <c r="H22" s="8" t="n">
        <v>23</v>
      </c>
      <c r="I22" s="4" t="s">
        <v>191</v>
      </c>
      <c r="J22" s="4" t="s">
        <v>233</v>
      </c>
      <c r="K22" s="3" t="n">
        <f aca="false">COUNTIF(Master!$D$2:$D$2000,A22)</f>
        <v>0</v>
      </c>
      <c r="L22" s="4"/>
      <c r="M22" s="8"/>
      <c r="N22" s="11" t="s">
        <v>234</v>
      </c>
    </row>
    <row r="23" customFormat="false" ht="23.25" hidden="false" customHeight="true" outlineLevel="0" collapsed="false">
      <c r="A23" s="3" t="s">
        <v>235</v>
      </c>
      <c r="B23" s="4" t="s">
        <v>236</v>
      </c>
      <c r="C23" s="3" t="s">
        <v>87</v>
      </c>
      <c r="D23" s="3" t="s">
        <v>33</v>
      </c>
      <c r="E23" s="8" t="s">
        <v>204</v>
      </c>
      <c r="F23" s="8" t="s">
        <v>73</v>
      </c>
      <c r="G23" s="8"/>
      <c r="H23" s="8" t="n">
        <v>26</v>
      </c>
      <c r="I23" s="4" t="s">
        <v>237</v>
      </c>
      <c r="J23" s="4" t="s">
        <v>238</v>
      </c>
      <c r="K23" s="3" t="n">
        <f aca="false">COUNTIF(Master!$D$2:$D$2000,A23)</f>
        <v>0</v>
      </c>
      <c r="L23" s="4"/>
      <c r="M23" s="8"/>
      <c r="N23" s="11" t="s">
        <v>239</v>
      </c>
    </row>
    <row r="24" customFormat="false" ht="15" hidden="false" customHeight="true" outlineLevel="0" collapsed="false">
      <c r="A24" s="3" t="s">
        <v>240</v>
      </c>
      <c r="B24" s="4" t="s">
        <v>241</v>
      </c>
      <c r="C24" s="3" t="s">
        <v>87</v>
      </c>
      <c r="D24" s="3" t="s">
        <v>33</v>
      </c>
      <c r="E24" s="8" t="s">
        <v>136</v>
      </c>
      <c r="F24" s="8" t="s">
        <v>73</v>
      </c>
      <c r="G24" s="8"/>
      <c r="H24" s="8" t="n">
        <v>13</v>
      </c>
      <c r="I24" s="4" t="s">
        <v>242</v>
      </c>
      <c r="J24" s="4" t="s">
        <v>243</v>
      </c>
      <c r="K24" s="3" t="n">
        <f aca="false">COUNTIF(Master!$D$2:$D$2000,A24)</f>
        <v>0</v>
      </c>
      <c r="L24" s="4" t="s">
        <v>186</v>
      </c>
      <c r="M24" s="8"/>
      <c r="N24" s="11" t="s">
        <v>244</v>
      </c>
    </row>
    <row r="25" customFormat="false" ht="15" hidden="false" customHeight="true" outlineLevel="0" collapsed="false">
      <c r="A25" s="3" t="s">
        <v>245</v>
      </c>
      <c r="B25" s="4" t="s">
        <v>246</v>
      </c>
      <c r="C25" s="3" t="s">
        <v>87</v>
      </c>
      <c r="D25" s="3" t="s">
        <v>33</v>
      </c>
      <c r="E25" s="8" t="s">
        <v>204</v>
      </c>
      <c r="F25" s="8" t="s">
        <v>76</v>
      </c>
      <c r="G25" s="8"/>
      <c r="H25" s="8" t="n">
        <v>31</v>
      </c>
      <c r="I25" s="4" t="s">
        <v>191</v>
      </c>
      <c r="J25" s="4"/>
      <c r="K25" s="3" t="n">
        <f aca="false">COUNTIF(Master!$D$2:$D$2000,A25)</f>
        <v>0</v>
      </c>
      <c r="L25" s="4"/>
      <c r="M25" s="8"/>
      <c r="N25" s="11" t="s">
        <v>247</v>
      </c>
    </row>
    <row r="26" customFormat="false" ht="15" hidden="false" customHeight="true" outlineLevel="0" collapsed="false">
      <c r="A26" s="3" t="s">
        <v>248</v>
      </c>
      <c r="B26" s="4" t="s">
        <v>249</v>
      </c>
      <c r="C26" s="3" t="s">
        <v>87</v>
      </c>
      <c r="D26" s="3" t="s">
        <v>33</v>
      </c>
      <c r="E26" s="8" t="s">
        <v>143</v>
      </c>
      <c r="F26" s="8" t="s">
        <v>73</v>
      </c>
      <c r="G26" s="8" t="s">
        <v>114</v>
      </c>
      <c r="H26" s="8" t="n">
        <v>20</v>
      </c>
      <c r="I26" s="4" t="s">
        <v>250</v>
      </c>
      <c r="J26" s="4" t="s">
        <v>251</v>
      </c>
      <c r="K26" s="3" t="n">
        <f aca="false">COUNTIF(Master!$D$2:$D$2000,A26)</f>
        <v>0</v>
      </c>
      <c r="L26" s="4"/>
      <c r="M26" s="8"/>
      <c r="N26" s="11" t="s">
        <v>252</v>
      </c>
    </row>
    <row r="27" customFormat="false" ht="15" hidden="false" customHeight="true" outlineLevel="0" collapsed="false">
      <c r="A27" s="3" t="s">
        <v>253</v>
      </c>
      <c r="B27" s="4" t="s">
        <v>254</v>
      </c>
      <c r="C27" s="3" t="s">
        <v>87</v>
      </c>
      <c r="D27" s="3" t="s">
        <v>33</v>
      </c>
      <c r="E27" s="8" t="s">
        <v>155</v>
      </c>
      <c r="F27" s="8"/>
      <c r="G27" s="8"/>
      <c r="H27" s="8"/>
      <c r="I27" s="4"/>
      <c r="J27" s="4" t="s">
        <v>255</v>
      </c>
      <c r="K27" s="3" t="n">
        <f aca="false">COUNTIF(Master!$D$2:$D$2000,A27)</f>
        <v>0</v>
      </c>
      <c r="L27" s="4"/>
      <c r="M27" s="8"/>
      <c r="N27" s="11" t="s">
        <v>256</v>
      </c>
    </row>
    <row r="28" customFormat="false" ht="23.25" hidden="false" customHeight="true" outlineLevel="0" collapsed="false">
      <c r="A28" s="3" t="s">
        <v>257</v>
      </c>
      <c r="B28" s="4" t="s">
        <v>258</v>
      </c>
      <c r="C28" s="3" t="s">
        <v>87</v>
      </c>
      <c r="D28" s="3" t="s">
        <v>259</v>
      </c>
      <c r="E28" s="8" t="s">
        <v>143</v>
      </c>
      <c r="F28" s="8" t="s">
        <v>46</v>
      </c>
      <c r="G28" s="8" t="s">
        <v>73</v>
      </c>
      <c r="H28" s="8" t="n">
        <v>15</v>
      </c>
      <c r="I28" s="4" t="s">
        <v>260</v>
      </c>
      <c r="J28" s="4" t="s">
        <v>261</v>
      </c>
      <c r="K28" s="3" t="n">
        <f aca="false">COUNTIF(Master!$D$2:$D$2000,A28)</f>
        <v>0</v>
      </c>
      <c r="L28" s="4" t="s">
        <v>262</v>
      </c>
      <c r="M28" s="8"/>
      <c r="N28" s="11" t="s">
        <v>263</v>
      </c>
    </row>
    <row r="29" customFormat="false" ht="15" hidden="false" customHeight="true" outlineLevel="0" collapsed="false">
      <c r="A29" s="3" t="s">
        <v>264</v>
      </c>
      <c r="B29" s="4" t="s">
        <v>265</v>
      </c>
      <c r="C29" s="3" t="s">
        <v>87</v>
      </c>
      <c r="D29" s="3" t="s">
        <v>259</v>
      </c>
      <c r="E29" s="8" t="s">
        <v>143</v>
      </c>
      <c r="F29" s="8" t="s">
        <v>89</v>
      </c>
      <c r="G29" s="8"/>
      <c r="H29" s="8" t="n">
        <v>15</v>
      </c>
      <c r="I29" s="4" t="s">
        <v>266</v>
      </c>
      <c r="J29" s="4" t="s">
        <v>267</v>
      </c>
      <c r="K29" s="3" t="n">
        <f aca="false">COUNTIF(Master!$D$2:$D$2000,A29)</f>
        <v>0</v>
      </c>
      <c r="L29" s="4"/>
      <c r="M29" s="8"/>
      <c r="N29" s="11" t="s">
        <v>268</v>
      </c>
    </row>
    <row r="30" customFormat="false" ht="15" hidden="false" customHeight="true" outlineLevel="0" collapsed="false">
      <c r="A30" s="3" t="s">
        <v>269</v>
      </c>
      <c r="B30" s="4" t="s">
        <v>270</v>
      </c>
      <c r="C30" s="3" t="s">
        <v>87</v>
      </c>
      <c r="D30" s="3" t="s">
        <v>259</v>
      </c>
      <c r="E30" s="8" t="s">
        <v>155</v>
      </c>
      <c r="F30" s="8" t="s">
        <v>97</v>
      </c>
      <c r="G30" s="8"/>
      <c r="H30" s="8"/>
      <c r="I30" s="4"/>
      <c r="J30" s="4"/>
      <c r="K30" s="3" t="n">
        <f aca="false">COUNTIF(Master!$D$2:$D$2000,A30)</f>
        <v>0</v>
      </c>
      <c r="L30" s="4"/>
      <c r="M30" s="8"/>
      <c r="N30" s="11" t="s">
        <v>271</v>
      </c>
    </row>
    <row r="31" customFormat="false" ht="15" hidden="false" customHeight="true" outlineLevel="0" collapsed="false">
      <c r="A31" s="3" t="s">
        <v>272</v>
      </c>
      <c r="B31" s="4" t="s">
        <v>273</v>
      </c>
      <c r="C31" s="3" t="s">
        <v>87</v>
      </c>
      <c r="D31" s="3" t="s">
        <v>259</v>
      </c>
      <c r="E31" s="8" t="s">
        <v>155</v>
      </c>
      <c r="F31" s="8" t="s">
        <v>73</v>
      </c>
      <c r="G31" s="8" t="s">
        <v>46</v>
      </c>
      <c r="H31" s="8" t="n">
        <v>13</v>
      </c>
      <c r="I31" s="4" t="s">
        <v>274</v>
      </c>
      <c r="J31" s="4" t="s">
        <v>275</v>
      </c>
      <c r="K31" s="3" t="n">
        <f aca="false">COUNTIF(Master!$D$2:$D$2000,A31)</f>
        <v>0</v>
      </c>
      <c r="L31" s="4" t="s">
        <v>276</v>
      </c>
      <c r="M31" s="8"/>
      <c r="N31" s="11" t="s">
        <v>277</v>
      </c>
    </row>
    <row r="32" customFormat="false" ht="15" hidden="false" customHeight="true" outlineLevel="0" collapsed="false">
      <c r="A32" s="3" t="s">
        <v>278</v>
      </c>
      <c r="B32" s="4" t="s">
        <v>279</v>
      </c>
      <c r="C32" s="3" t="s">
        <v>87</v>
      </c>
      <c r="D32" s="3" t="s">
        <v>280</v>
      </c>
      <c r="E32" s="8" t="s">
        <v>155</v>
      </c>
      <c r="F32" s="8" t="s">
        <v>97</v>
      </c>
      <c r="G32" s="8"/>
      <c r="H32" s="8"/>
      <c r="I32" s="4"/>
      <c r="J32" s="4"/>
      <c r="K32" s="3" t="n">
        <f aca="false">COUNTIF(Master!$D$2:$D$2000,A32)</f>
        <v>0</v>
      </c>
      <c r="L32" s="4"/>
      <c r="M32" s="8"/>
      <c r="N32" s="11" t="s">
        <v>281</v>
      </c>
    </row>
    <row r="33" customFormat="false" ht="15" hidden="false" customHeight="true" outlineLevel="0" collapsed="false">
      <c r="A33" s="3" t="s">
        <v>282</v>
      </c>
      <c r="B33" s="4" t="s">
        <v>283</v>
      </c>
      <c r="C33" s="3" t="s">
        <v>34</v>
      </c>
      <c r="D33" s="3" t="s">
        <v>33</v>
      </c>
      <c r="E33" s="8" t="s">
        <v>155</v>
      </c>
      <c r="F33" s="8" t="s">
        <v>46</v>
      </c>
      <c r="G33" s="8" t="s">
        <v>73</v>
      </c>
      <c r="H33" s="8" t="n">
        <v>26</v>
      </c>
      <c r="I33" s="4" t="s">
        <v>284</v>
      </c>
      <c r="J33" s="4"/>
      <c r="K33" s="3" t="n">
        <f aca="false">COUNTIF(Master!$D$2:$D$2000,A33)</f>
        <v>0</v>
      </c>
      <c r="L33" s="4"/>
      <c r="M33" s="8"/>
      <c r="N33" s="11" t="s">
        <v>285</v>
      </c>
    </row>
    <row r="34" customFormat="false" ht="15" hidden="false" customHeight="true" outlineLevel="0" collapsed="false">
      <c r="A34" s="3" t="s">
        <v>286</v>
      </c>
      <c r="B34" s="4" t="s">
        <v>287</v>
      </c>
      <c r="C34" s="3" t="s">
        <v>34</v>
      </c>
      <c r="D34" s="3" t="s">
        <v>33</v>
      </c>
      <c r="E34" s="8" t="s">
        <v>155</v>
      </c>
      <c r="F34" s="8" t="s">
        <v>89</v>
      </c>
      <c r="G34" s="8" t="s">
        <v>97</v>
      </c>
      <c r="H34" s="8"/>
      <c r="I34" s="4"/>
      <c r="J34" s="4"/>
      <c r="K34" s="3" t="n">
        <f aca="false">COUNTIF(Master!$D$2:$D$2000,A34)</f>
        <v>0</v>
      </c>
      <c r="L34" s="4"/>
      <c r="M34" s="8"/>
      <c r="N34" s="11" t="s">
        <v>288</v>
      </c>
    </row>
    <row r="35" customFormat="false" ht="15" hidden="false" customHeight="true" outlineLevel="0" collapsed="false">
      <c r="A35" s="3" t="s">
        <v>289</v>
      </c>
      <c r="B35" s="4" t="s">
        <v>290</v>
      </c>
      <c r="C35" s="3" t="s">
        <v>95</v>
      </c>
      <c r="D35" s="3" t="s">
        <v>135</v>
      </c>
      <c r="E35" s="8" t="s">
        <v>204</v>
      </c>
      <c r="F35" s="8" t="s">
        <v>94</v>
      </c>
      <c r="G35" s="8"/>
      <c r="H35" s="8" t="n">
        <v>11</v>
      </c>
      <c r="I35" s="4" t="s">
        <v>156</v>
      </c>
      <c r="J35" s="4" t="s">
        <v>291</v>
      </c>
      <c r="K35" s="3" t="n">
        <f aca="false">COUNTIF(Master!$D$2:$D$2000,A35)</f>
        <v>0</v>
      </c>
      <c r="L35" s="4"/>
      <c r="M35" s="8"/>
      <c r="N35" s="11" t="s">
        <v>292</v>
      </c>
    </row>
    <row r="36" customFormat="false" ht="23.25" hidden="false" customHeight="true" outlineLevel="0" collapsed="false">
      <c r="A36" s="3" t="s">
        <v>293</v>
      </c>
      <c r="B36" s="4" t="s">
        <v>294</v>
      </c>
      <c r="C36" s="3" t="s">
        <v>95</v>
      </c>
      <c r="D36" s="3" t="s">
        <v>33</v>
      </c>
      <c r="E36" s="8" t="s">
        <v>295</v>
      </c>
      <c r="F36" s="8" t="s">
        <v>99</v>
      </c>
      <c r="G36" s="8" t="s">
        <v>73</v>
      </c>
      <c r="H36" s="8" t="n">
        <v>22</v>
      </c>
      <c r="I36" s="4" t="s">
        <v>242</v>
      </c>
      <c r="J36" s="4" t="s">
        <v>296</v>
      </c>
      <c r="K36" s="3" t="n">
        <f aca="false">COUNTIF(Master!$D$2:$D$2000,A36)</f>
        <v>0</v>
      </c>
      <c r="L36" s="4"/>
      <c r="M36" s="8"/>
      <c r="N36" s="11" t="s">
        <v>297</v>
      </c>
    </row>
    <row r="37" customFormat="false" ht="15" hidden="false" customHeight="true" outlineLevel="0" collapsed="false">
      <c r="A37" s="3" t="s">
        <v>298</v>
      </c>
      <c r="B37" s="4" t="s">
        <v>299</v>
      </c>
      <c r="C37" s="3" t="s">
        <v>90</v>
      </c>
      <c r="D37" s="3" t="s">
        <v>33</v>
      </c>
      <c r="E37" s="8" t="s">
        <v>143</v>
      </c>
      <c r="F37" s="8" t="s">
        <v>89</v>
      </c>
      <c r="G37" s="8" t="s">
        <v>116</v>
      </c>
      <c r="H37" s="8" t="n">
        <v>15</v>
      </c>
      <c r="I37" s="4" t="s">
        <v>149</v>
      </c>
      <c r="J37" s="4" t="s">
        <v>300</v>
      </c>
      <c r="K37" s="3" t="n">
        <f aca="false">COUNTIF(Master!$D$2:$D$2000,A37)</f>
        <v>0</v>
      </c>
      <c r="L37" s="4" t="s">
        <v>186</v>
      </c>
      <c r="M37" s="8"/>
      <c r="N37" s="11" t="s">
        <v>301</v>
      </c>
    </row>
    <row r="38" customFormat="false" ht="15" hidden="false" customHeight="true" outlineLevel="0" collapsed="false">
      <c r="A38" s="3" t="s">
        <v>302</v>
      </c>
      <c r="B38" s="4" t="s">
        <v>303</v>
      </c>
      <c r="C38" s="3" t="s">
        <v>90</v>
      </c>
      <c r="D38" s="3" t="s">
        <v>135</v>
      </c>
      <c r="E38" s="8" t="s">
        <v>295</v>
      </c>
      <c r="F38" s="8" t="s">
        <v>89</v>
      </c>
      <c r="G38" s="8" t="s">
        <v>102</v>
      </c>
      <c r="H38" s="8" t="n">
        <v>24</v>
      </c>
      <c r="I38" s="4" t="s">
        <v>237</v>
      </c>
      <c r="J38" s="4" t="s">
        <v>304</v>
      </c>
      <c r="K38" s="3" t="n">
        <f aca="false">COUNTIF(Master!$D$2:$D$2000,A38)</f>
        <v>0</v>
      </c>
      <c r="L38" s="4"/>
      <c r="M38" s="8"/>
      <c r="N38" s="11" t="s">
        <v>305</v>
      </c>
    </row>
    <row r="39" customFormat="false" ht="23.25" hidden="false" customHeight="true" outlineLevel="0" collapsed="false">
      <c r="A39" s="3" t="s">
        <v>306</v>
      </c>
      <c r="B39" s="4" t="s">
        <v>307</v>
      </c>
      <c r="C39" s="3" t="s">
        <v>87</v>
      </c>
      <c r="D39" s="3" t="s">
        <v>33</v>
      </c>
      <c r="E39" s="8" t="s">
        <v>295</v>
      </c>
      <c r="F39" s="8"/>
      <c r="G39" s="8" t="s">
        <v>73</v>
      </c>
      <c r="H39" s="8" t="n">
        <v>11</v>
      </c>
      <c r="I39" s="4" t="s">
        <v>308</v>
      </c>
      <c r="J39" s="4" t="s">
        <v>192</v>
      </c>
      <c r="K39" s="3" t="n">
        <f aca="false">COUNTIF(Master!$D$2:$D$2000,A39)</f>
        <v>0</v>
      </c>
      <c r="L39" s="4" t="s">
        <v>309</v>
      </c>
      <c r="M39" s="8"/>
      <c r="N39" s="11"/>
    </row>
    <row r="40" customFormat="false" ht="23.25" hidden="false" customHeight="true" outlineLevel="0" collapsed="false">
      <c r="A40" s="3" t="s">
        <v>310</v>
      </c>
      <c r="B40" s="4" t="s">
        <v>311</v>
      </c>
      <c r="C40" s="3" t="s">
        <v>34</v>
      </c>
      <c r="D40" s="3" t="s">
        <v>135</v>
      </c>
      <c r="E40" s="8" t="s">
        <v>295</v>
      </c>
      <c r="F40" s="8"/>
      <c r="G40" s="8" t="s">
        <v>73</v>
      </c>
      <c r="H40" s="8" t="n">
        <v>16</v>
      </c>
      <c r="I40" s="4" t="s">
        <v>161</v>
      </c>
      <c r="J40" s="4" t="s">
        <v>312</v>
      </c>
      <c r="K40" s="3" t="n">
        <f aca="false">COUNTIF(Master!$D$2:$D$2000,A40)</f>
        <v>0</v>
      </c>
      <c r="L40" s="4" t="s">
        <v>309</v>
      </c>
      <c r="M40" s="8"/>
      <c r="N40" s="11"/>
    </row>
    <row r="41" customFormat="false" ht="23.25" hidden="false" customHeight="true" outlineLevel="0" collapsed="false">
      <c r="A41" s="3" t="s">
        <v>313</v>
      </c>
      <c r="B41" s="4" t="s">
        <v>314</v>
      </c>
      <c r="C41" s="3" t="s">
        <v>78</v>
      </c>
      <c r="D41" s="3" t="s">
        <v>135</v>
      </c>
      <c r="E41" s="8" t="s">
        <v>295</v>
      </c>
      <c r="F41" s="8"/>
      <c r="G41" s="8" t="s">
        <v>35</v>
      </c>
      <c r="H41" s="8" t="n">
        <v>8</v>
      </c>
      <c r="I41" s="4" t="s">
        <v>229</v>
      </c>
      <c r="J41" s="4" t="s">
        <v>192</v>
      </c>
      <c r="K41" s="3" t="n">
        <f aca="false">COUNTIF(Master!$D$2:$D$2000,A41)</f>
        <v>0</v>
      </c>
      <c r="L41" s="4" t="s">
        <v>309</v>
      </c>
      <c r="M41" s="8"/>
      <c r="N41" s="11"/>
    </row>
  </sheetData>
  <dataValidations count="2">
    <dataValidation allowBlank="true" errorStyle="stop" operator="between" showDropDown="false" showErrorMessage="false" showInputMessage="false" sqref="E2:E200" type="list">
      <formula1>"Monthly,Quarterly,Semester,Annual,Ad hoc"</formula1>
      <formula2>0</formula2>
    </dataValidation>
    <dataValidation allowBlank="true" errorStyle="stop" operator="between" showDropDown="false" showErrorMessage="false" showInputMessage="false" sqref="M2:M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7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12"/>
  </cols>
  <sheetData>
    <row r="1" customFormat="false" ht="31.5" hidden="false" customHeight="true" outlineLevel="0" collapsed="false">
      <c r="A1" s="2" t="s">
        <v>12</v>
      </c>
      <c r="B1" s="2" t="s">
        <v>315</v>
      </c>
      <c r="C1" s="2" t="s">
        <v>316</v>
      </c>
      <c r="D1" s="2" t="s">
        <v>317</v>
      </c>
      <c r="E1" s="2" t="s">
        <v>318</v>
      </c>
      <c r="F1" s="2" t="s">
        <v>131</v>
      </c>
    </row>
    <row r="2" customFormat="false" ht="15" hidden="false" customHeight="true" outlineLevel="0" collapsed="false">
      <c r="A2" s="3" t="s">
        <v>319</v>
      </c>
      <c r="B2" s="8" t="s">
        <v>95</v>
      </c>
      <c r="C2" s="3" t="n">
        <v>2</v>
      </c>
      <c r="D2" s="3" t="s">
        <v>95</v>
      </c>
      <c r="E2" s="3" t="s">
        <v>320</v>
      </c>
      <c r="F2" s="8"/>
    </row>
    <row r="3" customFormat="false" ht="15" hidden="false" customHeight="true" outlineLevel="0" collapsed="false">
      <c r="A3" s="3" t="s">
        <v>321</v>
      </c>
      <c r="B3" s="8" t="s">
        <v>78</v>
      </c>
      <c r="C3" s="3" t="n">
        <v>1</v>
      </c>
      <c r="D3" s="3" t="s">
        <v>78</v>
      </c>
      <c r="E3" s="3" t="s">
        <v>322</v>
      </c>
      <c r="F3" s="8"/>
    </row>
    <row r="4" customFormat="false" ht="15" hidden="false" customHeight="true" outlineLevel="0" collapsed="false">
      <c r="A4" s="3" t="s">
        <v>37</v>
      </c>
      <c r="B4" s="8" t="s">
        <v>34</v>
      </c>
      <c r="C4" s="3" t="n">
        <v>6</v>
      </c>
      <c r="D4" s="3" t="s">
        <v>34</v>
      </c>
      <c r="E4" s="3" t="s">
        <v>323</v>
      </c>
      <c r="F4" s="8"/>
    </row>
    <row r="5" customFormat="false" ht="15" hidden="false" customHeight="true" outlineLevel="0" collapsed="false">
      <c r="A5" s="3" t="s">
        <v>324</v>
      </c>
      <c r="B5" s="8" t="s">
        <v>87</v>
      </c>
      <c r="C5" s="3" t="n">
        <v>1</v>
      </c>
      <c r="D5" s="3" t="s">
        <v>87</v>
      </c>
      <c r="E5" s="3" t="s">
        <v>325</v>
      </c>
      <c r="F5" s="8"/>
    </row>
    <row r="6" customFormat="false" ht="15" hidden="false" customHeight="true" outlineLevel="0" collapsed="false">
      <c r="A6" s="3" t="s">
        <v>326</v>
      </c>
      <c r="B6" s="8" t="s">
        <v>87</v>
      </c>
      <c r="C6" s="3" t="n">
        <v>1</v>
      </c>
      <c r="D6" s="3" t="s">
        <v>87</v>
      </c>
      <c r="E6" s="3" t="s">
        <v>327</v>
      </c>
      <c r="F6" s="8"/>
    </row>
    <row r="7" customFormat="false" ht="15" hidden="false" customHeight="true" outlineLevel="0" collapsed="false">
      <c r="A7" s="3" t="s">
        <v>328</v>
      </c>
      <c r="B7" s="8" t="s">
        <v>87</v>
      </c>
      <c r="C7" s="3" t="n">
        <v>1</v>
      </c>
      <c r="D7" s="3" t="s">
        <v>87</v>
      </c>
      <c r="E7" s="3" t="s">
        <v>329</v>
      </c>
      <c r="F7" s="8"/>
    </row>
    <row r="8" customFormat="false" ht="15" hidden="false" customHeight="true" outlineLevel="0" collapsed="false">
      <c r="A8" s="3" t="s">
        <v>330</v>
      </c>
      <c r="B8" s="8" t="s">
        <v>87</v>
      </c>
      <c r="C8" s="3" t="n">
        <v>1</v>
      </c>
      <c r="D8" s="3" t="s">
        <v>87</v>
      </c>
      <c r="E8" s="3" t="s">
        <v>331</v>
      </c>
      <c r="F8" s="8"/>
    </row>
    <row r="9" customFormat="false" ht="15" hidden="false" customHeight="true" outlineLevel="0" collapsed="false">
      <c r="A9" s="3" t="s">
        <v>332</v>
      </c>
      <c r="B9" s="8" t="s">
        <v>87</v>
      </c>
      <c r="C9" s="3" t="n">
        <v>4</v>
      </c>
      <c r="D9" s="3" t="s">
        <v>333</v>
      </c>
      <c r="E9" s="3" t="s">
        <v>334</v>
      </c>
      <c r="F9" s="8"/>
    </row>
  </sheetData>
  <dataValidations count="1">
    <dataValidation allowBlank="true" errorStyle="stop" operator="between" showDropDown="false" showErrorMessage="false" showInputMessage="false" sqref="B2:B200" type="list">
      <formula1>"Compliance,Policy and Risk,Finance,HR,Audit"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36"/>
  </cols>
  <sheetData>
    <row r="1" customFormat="false" ht="31.5" hidden="false" customHeight="true" outlineLevel="0" collapsed="false">
      <c r="A1" s="2" t="s">
        <v>335</v>
      </c>
      <c r="B1" s="2" t="s">
        <v>336</v>
      </c>
      <c r="C1" s="2" t="s">
        <v>337</v>
      </c>
      <c r="D1" s="2" t="s">
        <v>338</v>
      </c>
      <c r="E1" s="2" t="s">
        <v>339</v>
      </c>
      <c r="F1" s="2" t="s">
        <v>340</v>
      </c>
      <c r="G1" s="2" t="s">
        <v>341</v>
      </c>
      <c r="H1" s="2" t="s">
        <v>342</v>
      </c>
    </row>
    <row r="2" customFormat="false" ht="15" hidden="false" customHeight="true" outlineLevel="0" collapsed="false">
      <c r="A2" s="12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80"/>
  </cols>
  <sheetData>
    <row r="1" customFormat="false" ht="31.5" hidden="false" customHeight="true" outlineLevel="0" collapsed="false">
      <c r="A1" s="2" t="s">
        <v>344</v>
      </c>
      <c r="B1" s="2" t="s">
        <v>345</v>
      </c>
      <c r="C1" s="2" t="s">
        <v>346</v>
      </c>
    </row>
    <row r="2" customFormat="false" ht="15" hidden="false" customHeight="true" outlineLevel="0" collapsed="false">
      <c r="A2" s="3" t="s">
        <v>347</v>
      </c>
      <c r="B2" s="13" t="n">
        <v>1</v>
      </c>
      <c r="C2" s="4" t="s">
        <v>348</v>
      </c>
    </row>
    <row r="3" customFormat="false" ht="15" hidden="false" customHeight="true" outlineLevel="0" collapsed="false">
      <c r="A3" s="3" t="s">
        <v>349</v>
      </c>
      <c r="B3" s="13" t="n">
        <v>2</v>
      </c>
      <c r="C3" s="4" t="s">
        <v>350</v>
      </c>
    </row>
    <row r="4" customFormat="false" ht="15" hidden="false" customHeight="true" outlineLevel="0" collapsed="false">
      <c r="A4" s="3" t="s">
        <v>351</v>
      </c>
      <c r="B4" s="13" t="n">
        <v>4</v>
      </c>
      <c r="C4" s="4" t="s">
        <v>352</v>
      </c>
    </row>
    <row r="5" customFormat="false" ht="15" hidden="false" customHeight="true" outlineLevel="0" collapsed="false">
      <c r="A5" s="3" t="s">
        <v>353</v>
      </c>
      <c r="B5" s="13" t="n">
        <v>0.5</v>
      </c>
      <c r="C5" s="4" t="s">
        <v>354</v>
      </c>
    </row>
    <row r="6" customFormat="false" ht="15" hidden="false" customHeight="true" outlineLevel="0" collapsed="false">
      <c r="A6" s="3" t="s">
        <v>355</v>
      </c>
      <c r="B6" s="13" t="n">
        <v>10</v>
      </c>
      <c r="C6" s="4" t="s">
        <v>356</v>
      </c>
    </row>
    <row r="7" customFormat="false" ht="15" hidden="false" customHeight="true" outlineLevel="0" collapsed="false">
      <c r="A7" s="3" t="s">
        <v>357</v>
      </c>
      <c r="B7" s="13" t="n">
        <v>5</v>
      </c>
      <c r="C7" s="4" t="s">
        <v>358</v>
      </c>
    </row>
    <row r="8" customFormat="false" ht="15" hidden="false" customHeight="true" outlineLevel="0" collapsed="false">
      <c r="A8" s="3" t="s">
        <v>359</v>
      </c>
      <c r="B8" s="13" t="s">
        <v>360</v>
      </c>
      <c r="C8" s="4" t="s">
        <v>361</v>
      </c>
    </row>
    <row r="9" customFormat="false" ht="15" hidden="false" customHeight="true" outlineLevel="0" collapsed="false">
      <c r="A9" s="3" t="s">
        <v>362</v>
      </c>
      <c r="B9" s="13" t="n">
        <v>30</v>
      </c>
      <c r="C9" s="4" t="s">
        <v>363</v>
      </c>
    </row>
    <row r="10" customFormat="false" ht="15" hidden="false" customHeight="true" outlineLevel="0" collapsed="false">
      <c r="A10" s="3" t="s">
        <v>364</v>
      </c>
      <c r="B10" s="13" t="s">
        <v>365</v>
      </c>
      <c r="C10" s="4" t="s">
        <v>366</v>
      </c>
    </row>
    <row r="11" customFormat="false" ht="15" hidden="false" customHeight="true" outlineLevel="0" collapsed="false">
      <c r="A11" s="3" t="s">
        <v>367</v>
      </c>
      <c r="B11" s="13"/>
      <c r="C11" s="4" t="s">
        <v>368</v>
      </c>
    </row>
    <row r="12" customFormat="false" ht="15" hidden="false" customHeight="true" outlineLevel="0" collapsed="false">
      <c r="A12" s="3" t="s">
        <v>369</v>
      </c>
      <c r="B12" s="13"/>
      <c r="C12" s="4" t="s">
        <v>370</v>
      </c>
    </row>
    <row r="13" customFormat="false" ht="15" hidden="false" customHeight="true" outlineLevel="0" collapsed="false">
      <c r="A13" s="3" t="s">
        <v>371</v>
      </c>
      <c r="B13" s="13" t="s">
        <v>372</v>
      </c>
      <c r="C13" s="4" t="s">
        <v>373</v>
      </c>
    </row>
    <row r="14" customFormat="false" ht="15" hidden="false" customHeight="true" outlineLevel="0" collapsed="false">
      <c r="A14" s="3" t="s">
        <v>374</v>
      </c>
      <c r="B14" s="13" t="s">
        <v>375</v>
      </c>
      <c r="C14" s="4" t="s">
        <v>376</v>
      </c>
    </row>
    <row r="15" customFormat="false" ht="15" hidden="false" customHeight="true" outlineLevel="0" collapsed="false">
      <c r="A15" s="3" t="s">
        <v>377</v>
      </c>
      <c r="B15" s="13" t="n">
        <v>14</v>
      </c>
      <c r="C15" s="4" t="s">
        <v>378</v>
      </c>
    </row>
    <row r="16" customFormat="false" ht="15" hidden="false" customHeight="true" outlineLevel="0" collapsed="false">
      <c r="A16" s="3" t="s">
        <v>379</v>
      </c>
      <c r="B16" s="13" t="n">
        <v>7</v>
      </c>
      <c r="C16" s="4" t="s">
        <v>380</v>
      </c>
    </row>
    <row r="17" customFormat="false" ht="15" hidden="false" customHeight="true" outlineLevel="0" collapsed="false">
      <c r="A17" s="7"/>
    </row>
    <row r="18" customFormat="false" ht="15" hidden="false" customHeight="true" outlineLevel="0" collapsed="false">
      <c r="A18" s="14" t="s">
        <v>25</v>
      </c>
    </row>
    <row r="19" customFormat="false" ht="15" hidden="false" customHeight="true" outlineLevel="0" collapsed="false">
      <c r="A19" s="7" t="s">
        <v>381</v>
      </c>
    </row>
    <row r="20" customFormat="false" ht="15" hidden="false" customHeight="true" outlineLevel="0" collapsed="false">
      <c r="A20" s="7" t="s">
        <v>382</v>
      </c>
    </row>
    <row r="21" customFormat="false" ht="15" hidden="false" customHeight="true" outlineLevel="0" collapsed="false">
      <c r="A21" s="7" t="s">
        <v>383</v>
      </c>
    </row>
    <row r="22" customFormat="false" ht="15" hidden="false" customHeight="true" outlineLevel="0" collapsed="false">
      <c r="A22" s="7" t="s">
        <v>384</v>
      </c>
    </row>
    <row r="23" customFormat="false" ht="15" hidden="false" customHeight="true" outlineLevel="0" collapsed="false">
      <c r="A23" s="7" t="s">
        <v>385</v>
      </c>
    </row>
    <row r="24" customFormat="false" ht="15" hidden="false" customHeight="true" outlineLevel="0" collapsed="false">
      <c r="A24" s="7" t="s">
        <v>386</v>
      </c>
    </row>
    <row r="25" customFormat="false" ht="15" hidden="false" customHeight="true" outlineLevel="0" collapsed="false">
      <c r="A25" s="7" t="s">
        <v>387</v>
      </c>
    </row>
    <row r="26" customFormat="false" ht="15" hidden="false" customHeight="true" outlineLevel="0" collapsed="false">
      <c r="A26" s="7" t="s">
        <v>388</v>
      </c>
    </row>
    <row r="27" customFormat="false" ht="15" hidden="false" customHeight="true" outlineLevel="0" collapsed="false">
      <c r="A27" s="7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2026-10-26T06:47:19Z</dcterms:created>
  <dc:creator>openpyxl</dc:creator>
  <dc:description/>
  <dc:language>en-US</dc:language>
  <cp:lastModifiedBy/>
  <dcterms:modified xsi:type="dcterms:W3CDTF">2026-10-26T07:03:17Z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